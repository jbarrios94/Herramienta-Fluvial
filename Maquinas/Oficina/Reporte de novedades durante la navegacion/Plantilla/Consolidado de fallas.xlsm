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19200" windowHeight="10860"/>
  </bookViews>
  <sheets>
    <sheet name="Historial de Novedades" sheetId="1" r:id="rId1"/>
    <sheet name="Disponibilidad" sheetId="5" r:id="rId2"/>
    <sheet name="Disponibilidad mensual" sheetId="4" state="hidden" r:id="rId3"/>
    <sheet name="Informe" sheetId="2" r:id="rId4"/>
    <sheet name="lista" sheetId="3" state="hidden" r:id="rId5"/>
  </sheets>
  <calcPr calcId="162913"/>
  <pivotCaches>
    <pivotCache cacheId="14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2" l="1"/>
  <c r="H4" i="2"/>
  <c r="H5" i="2"/>
  <c r="H6" i="2"/>
  <c r="J6" i="2" s="1"/>
  <c r="H7" i="2"/>
  <c r="H8" i="2"/>
  <c r="K8" i="2" s="1"/>
  <c r="L8" i="2" s="1"/>
  <c r="H9" i="2"/>
  <c r="K9" i="2" s="1"/>
  <c r="H10" i="2"/>
  <c r="K10" i="2" s="1"/>
  <c r="H11" i="2"/>
  <c r="K11" i="2" s="1"/>
  <c r="H13" i="2"/>
  <c r="H14" i="2"/>
  <c r="H15" i="2"/>
  <c r="H16" i="2"/>
  <c r="H17" i="2"/>
  <c r="K17" i="2" s="1"/>
  <c r="L17" i="2" s="1"/>
  <c r="H18" i="2"/>
  <c r="K18" i="2" s="1"/>
  <c r="L18" i="2" s="1"/>
  <c r="H19" i="2"/>
  <c r="K19" i="2" s="1"/>
  <c r="L19" i="2" s="1"/>
  <c r="H20" i="2"/>
  <c r="K20" i="2" s="1"/>
  <c r="L20" i="2" s="1"/>
  <c r="H22" i="2"/>
  <c r="H23" i="2"/>
  <c r="H24" i="2"/>
  <c r="H25" i="2"/>
  <c r="K25" i="2" s="1"/>
  <c r="L25" i="2" s="1"/>
  <c r="H26" i="2"/>
  <c r="K26" i="2" s="1"/>
  <c r="L26" i="2" s="1"/>
  <c r="H27" i="2"/>
  <c r="K27" i="2" s="1"/>
  <c r="H28" i="2"/>
  <c r="H29" i="2"/>
  <c r="H3" i="2"/>
  <c r="J3" i="2" s="1"/>
  <c r="L27" i="2" l="1"/>
  <c r="M27" i="2"/>
  <c r="N27" i="2" s="1"/>
  <c r="L11" i="2"/>
  <c r="L10" i="2"/>
  <c r="L9" i="2"/>
  <c r="J29" i="2"/>
  <c r="K29" i="2"/>
  <c r="L29" i="2" s="1"/>
  <c r="J13" i="2"/>
  <c r="K13" i="2" s="1"/>
  <c r="L13" i="2" s="1"/>
  <c r="J28" i="2"/>
  <c r="K28" i="2"/>
  <c r="J14" i="2"/>
  <c r="K14" i="2"/>
  <c r="L14" i="2" s="1"/>
  <c r="J24" i="2"/>
  <c r="K24" i="2"/>
  <c r="J16" i="2"/>
  <c r="K16" i="2"/>
  <c r="L16" i="2" s="1"/>
  <c r="J7" i="2"/>
  <c r="K7" i="2" s="1"/>
  <c r="J22" i="2"/>
  <c r="K22" i="2"/>
  <c r="J23" i="2"/>
  <c r="K23" i="2"/>
  <c r="J15" i="2"/>
  <c r="K15" i="2"/>
  <c r="L15" i="2" s="1"/>
  <c r="I20" i="2"/>
  <c r="I11" i="2"/>
  <c r="I4" i="2"/>
  <c r="K4" i="2"/>
  <c r="I5" i="2"/>
  <c r="K5" i="2"/>
  <c r="L5" i="2" s="1"/>
  <c r="I19" i="2"/>
  <c r="I26" i="2"/>
  <c r="I18" i="2"/>
  <c r="I9" i="2"/>
  <c r="J5" i="2"/>
  <c r="I29" i="2"/>
  <c r="I10" i="2"/>
  <c r="I25" i="2"/>
  <c r="I17" i="2"/>
  <c r="I8" i="2"/>
  <c r="J20" i="2"/>
  <c r="J11" i="2"/>
  <c r="J4" i="2"/>
  <c r="I27" i="2"/>
  <c r="I24" i="2"/>
  <c r="I16" i="2"/>
  <c r="I7" i="2"/>
  <c r="J27" i="2"/>
  <c r="J19" i="2"/>
  <c r="J10" i="2"/>
  <c r="I28" i="2"/>
  <c r="I23" i="2"/>
  <c r="I15" i="2"/>
  <c r="J26" i="2"/>
  <c r="J18" i="2"/>
  <c r="J9" i="2"/>
  <c r="I13" i="2"/>
  <c r="I3" i="2"/>
  <c r="K3" i="2"/>
  <c r="M3" i="2" s="1"/>
  <c r="N3" i="2" s="1"/>
  <c r="I22" i="2"/>
  <c r="I14" i="2"/>
  <c r="I6" i="2"/>
  <c r="K6" i="2"/>
  <c r="L6" i="2" s="1"/>
  <c r="J25" i="2"/>
  <c r="J17" i="2"/>
  <c r="J8" i="2"/>
  <c r="H12" i="2"/>
  <c r="J12" i="2" s="1"/>
  <c r="K12" i="2" s="1"/>
  <c r="L12" i="2" s="1"/>
  <c r="L23" i="2" l="1"/>
  <c r="M26" i="2"/>
  <c r="N26" i="2" s="1"/>
  <c r="L24" i="2"/>
  <c r="M25" i="2"/>
  <c r="N25" i="2" s="1"/>
  <c r="L28" i="2"/>
  <c r="M28" i="2"/>
  <c r="N28" i="2" s="1"/>
  <c r="L22" i="2"/>
  <c r="M23" i="2"/>
  <c r="N23" i="2" s="1"/>
  <c r="M9" i="2"/>
  <c r="N9" i="2" s="1"/>
  <c r="M17" i="2"/>
  <c r="N17" i="2" s="1"/>
  <c r="M13" i="2"/>
  <c r="N13" i="2" s="1"/>
  <c r="L4" i="2"/>
  <c r="M4" i="2" s="1"/>
  <c r="N4" i="2" s="1"/>
  <c r="O4" i="2"/>
  <c r="P4" i="2" s="1"/>
  <c r="O3" i="2"/>
  <c r="P3" i="2" s="1"/>
  <c r="L3" i="2"/>
  <c r="O7" i="2"/>
  <c r="L7" i="2"/>
  <c r="I12" i="2"/>
  <c r="H21" i="2"/>
  <c r="O9" i="2" l="1"/>
  <c r="P9" i="2" s="1"/>
  <c r="P7" i="2"/>
  <c r="M7" i="2"/>
  <c r="N7" i="2" s="1"/>
  <c r="J21" i="2"/>
  <c r="K21" i="2" s="1"/>
  <c r="I21" i="2"/>
  <c r="L21" i="2" l="1"/>
  <c r="M21" i="2"/>
  <c r="N21" i="2" l="1"/>
  <c r="O21" i="2"/>
  <c r="P21" i="2" s="1"/>
  <c r="Q3" i="2" s="1"/>
</calcChain>
</file>

<file path=xl/comments1.xml><?xml version="1.0" encoding="utf-8"?>
<comments xmlns="http://schemas.openxmlformats.org/spreadsheetml/2006/main">
  <authors>
    <author>Autor</author>
  </authors>
  <commentList>
    <comment ref="C7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paralelo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paralelo</t>
        </r>
      </text>
    </comment>
    <comment ref="N9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Centro</t>
        </r>
      </text>
    </comment>
    <comment ref="N13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Babor</t>
        </r>
      </text>
    </comment>
    <comment ref="N17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estribor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Estribor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Babor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Centro
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power pack
</t>
        </r>
      </text>
    </comment>
    <comment ref="M27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Tanque hidraulico
</t>
        </r>
      </text>
    </comment>
    <comment ref="C28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Parelelo</t>
        </r>
      </text>
    </comment>
    <comment ref="M28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Bombas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paralelo</t>
        </r>
      </text>
    </comment>
  </commentList>
</comments>
</file>

<file path=xl/sharedStrings.xml><?xml version="1.0" encoding="utf-8"?>
<sst xmlns="http://schemas.openxmlformats.org/spreadsheetml/2006/main" count="93" uniqueCount="66">
  <si>
    <t>Remolcador:</t>
  </si>
  <si>
    <t>Fecha</t>
  </si>
  <si>
    <t>Sistema afectado</t>
  </si>
  <si>
    <t>Equipo / Componente</t>
  </si>
  <si>
    <t>Ubicación / Costado</t>
  </si>
  <si>
    <t xml:space="preserve">Tipo de novedad o Actividad </t>
  </si>
  <si>
    <t>Viaje</t>
  </si>
  <si>
    <t>Detiene el equipo</t>
  </si>
  <si>
    <t xml:space="preserve"> H Inicial</t>
  </si>
  <si>
    <t xml:space="preserve"> H Final</t>
  </si>
  <si>
    <t>Total F/S Parte</t>
  </si>
  <si>
    <t>Sistema De Propulsión</t>
  </si>
  <si>
    <t>Reductor Babor</t>
  </si>
  <si>
    <t>Sistema De Gobierno</t>
  </si>
  <si>
    <t>Timones de Flanqueo  Estribor</t>
  </si>
  <si>
    <t>Bomba 2</t>
  </si>
  <si>
    <t>Mes</t>
  </si>
  <si>
    <t>dias del mes</t>
  </si>
  <si>
    <t>Periodo de trabajo Hrs</t>
  </si>
  <si>
    <t>Lancha de Apoyo</t>
  </si>
  <si>
    <t>Sistema Elevadizo Puente</t>
  </si>
  <si>
    <t>Cilindro Hidráulico</t>
  </si>
  <si>
    <t>Tanque Hidráulico</t>
  </si>
  <si>
    <t>Bomba Hidráulica</t>
  </si>
  <si>
    <t>Sistema De Generación Eléctrica</t>
  </si>
  <si>
    <t>Generador Estribor</t>
  </si>
  <si>
    <t>Generador Babor</t>
  </si>
  <si>
    <t>Eje Centro</t>
  </si>
  <si>
    <t>Eje Estribor</t>
  </si>
  <si>
    <t>Eje Babor</t>
  </si>
  <si>
    <t>Reductor Estribor</t>
  </si>
  <si>
    <t>Motor Babor</t>
  </si>
  <si>
    <t>Motor Estribor</t>
  </si>
  <si>
    <t>Motor Centro</t>
  </si>
  <si>
    <t>Propela Babor</t>
  </si>
  <si>
    <t>Propela Estribor</t>
  </si>
  <si>
    <t>Propela Centro</t>
  </si>
  <si>
    <t>Timones de Flanqueo  Babor</t>
  </si>
  <si>
    <t>Power Pack</t>
  </si>
  <si>
    <t>Timón Centro</t>
  </si>
  <si>
    <t>Timón Estribor</t>
  </si>
  <si>
    <t>Timón Babor</t>
  </si>
  <si>
    <t>Bomba 1</t>
  </si>
  <si>
    <t>Sistema</t>
  </si>
  <si>
    <t>Equipo</t>
  </si>
  <si>
    <t>Total Hrs FS</t>
  </si>
  <si>
    <t>Confiabiliad x equipo</t>
  </si>
  <si>
    <t>Confiabiliad x sistema</t>
  </si>
  <si>
    <t>Confiabiliad del remolcador</t>
  </si>
  <si>
    <t>Basado en listado presente</t>
  </si>
  <si>
    <t>Horas</t>
  </si>
  <si>
    <t>Eventos</t>
  </si>
  <si>
    <t xml:space="preserve"> λ</t>
  </si>
  <si>
    <t>TMEF (Hrs)</t>
  </si>
  <si>
    <t>t/TMEF</t>
  </si>
  <si>
    <t>Confiabilidad Sub sistema</t>
  </si>
  <si>
    <t>Reductor Centro</t>
  </si>
  <si>
    <t xml:space="preserve">Confiabilidad Sub Sistema </t>
  </si>
  <si>
    <t>MES</t>
  </si>
  <si>
    <t>AÑO</t>
  </si>
  <si>
    <t>DISPONIBILIDAD</t>
  </si>
  <si>
    <t>0</t>
  </si>
  <si>
    <t>02</t>
  </si>
  <si>
    <t>AÑO/MES</t>
  </si>
  <si>
    <t>Promedio de DISPONIBILIDAD</t>
  </si>
  <si>
    <t>(en blanco)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</si>
</sst>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h]:mm;@"/>
    <numFmt numFmtId="165" formatCode="0.0"/>
    <numFmt numFmtId="166" formatCode="0.000"/>
    <numFmt numFmtId="168" formatCode="0.0%"/>
  </numFmts>
  <fonts count="1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4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CCC0D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3" fillId="0" borderId="0" applyFont="0" applyFill="0" applyBorder="0" applyAlignment="0" applyProtection="0"/>
  </cellStyleXfs>
  <cellXfs count="69">
    <xf numFmtId="0" fontId="0" fillId="0" borderId="0" xfId="0"/>
    <xf numFmtId="0" fontId="0" fillId="2" borderId="1" xfId="0" applyFill="1" applyBorder="1"/>
    <xf numFmtId="0" fontId="1" fillId="2" borderId="1" xfId="0" applyFont="1" applyFill="1" applyBorder="1"/>
    <xf numFmtId="14" fontId="2" fillId="2" borderId="1" xfId="0" applyNumberFormat="1" applyFont="1" applyFill="1" applyBorder="1"/>
    <xf numFmtId="14" fontId="0" fillId="0" borderId="0" xfId="0" applyNumberFormat="1"/>
    <xf numFmtId="164" fontId="0" fillId="0" borderId="0" xfId="0" applyNumberFormat="1"/>
    <xf numFmtId="0" fontId="0" fillId="0" borderId="1" xfId="0" applyBorder="1"/>
    <xf numFmtId="20" fontId="0" fillId="0" borderId="0" xfId="0" applyNumberFormat="1"/>
    <xf numFmtId="0" fontId="6" fillId="0" borderId="1" xfId="0" applyFont="1" applyBorder="1" applyAlignment="1">
      <alignment wrapText="1"/>
    </xf>
    <xf numFmtId="0" fontId="0" fillId="0" borderId="0" xfId="0" applyBorder="1"/>
    <xf numFmtId="0" fontId="9" fillId="0" borderId="0" xfId="0" applyFont="1"/>
    <xf numFmtId="0" fontId="4" fillId="3" borderId="2" xfId="0" applyFont="1" applyFill="1" applyBorder="1" applyAlignment="1">
      <alignment horizontal="center" vertical="center" wrapText="1"/>
    </xf>
    <xf numFmtId="20" fontId="4" fillId="3" borderId="2" xfId="0" applyNumberFormat="1" applyFont="1" applyFill="1" applyBorder="1" applyAlignment="1">
      <alignment horizontal="center" vertical="center" wrapText="1"/>
    </xf>
    <xf numFmtId="20" fontId="5" fillId="3" borderId="2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1" fontId="9" fillId="0" borderId="1" xfId="0" applyNumberFormat="1" applyFont="1" applyBorder="1"/>
    <xf numFmtId="1" fontId="0" fillId="0" borderId="1" xfId="0" applyNumberFormat="1" applyFont="1" applyFill="1" applyBorder="1"/>
    <xf numFmtId="0" fontId="0" fillId="0" borderId="0" xfId="0" applyAlignment="1">
      <alignment horizontal="center" vertical="center"/>
    </xf>
    <xf numFmtId="0" fontId="0" fillId="0" borderId="0" xfId="0" applyFill="1"/>
    <xf numFmtId="9" fontId="0" fillId="0" borderId="1" xfId="2" applyFont="1" applyFill="1" applyBorder="1" applyAlignment="1">
      <alignment horizontal="center" vertical="center"/>
    </xf>
    <xf numFmtId="9" fontId="0" fillId="0" borderId="0" xfId="2" applyFont="1" applyFill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1" fontId="0" fillId="0" borderId="1" xfId="0" applyNumberFormat="1" applyFill="1" applyBorder="1"/>
    <xf numFmtId="166" fontId="0" fillId="0" borderId="1" xfId="0" applyNumberFormat="1" applyFill="1" applyBorder="1"/>
    <xf numFmtId="1" fontId="0" fillId="0" borderId="1" xfId="2" applyNumberFormat="1" applyFont="1" applyFill="1" applyBorder="1" applyAlignment="1">
      <alignment horizontal="center" vertical="center"/>
    </xf>
    <xf numFmtId="1" fontId="0" fillId="0" borderId="1" xfId="2" applyNumberFormat="1" applyFont="1" applyFill="1" applyBorder="1" applyAlignment="1">
      <alignment vertical="center"/>
    </xf>
    <xf numFmtId="0" fontId="14" fillId="0" borderId="1" xfId="0" applyFont="1" applyBorder="1"/>
    <xf numFmtId="0" fontId="15" fillId="0" borderId="1" xfId="0" applyFont="1" applyBorder="1" applyAlignment="1">
      <alignment horizontal="center" vertical="center"/>
    </xf>
    <xf numFmtId="1" fontId="14" fillId="0" borderId="1" xfId="0" applyNumberFormat="1" applyFont="1" applyFill="1" applyBorder="1" applyAlignment="1">
      <alignment horizontal="center" vertical="center"/>
    </xf>
    <xf numFmtId="9" fontId="14" fillId="0" borderId="1" xfId="2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0" xfId="0" applyFont="1" applyFill="1"/>
    <xf numFmtId="0" fontId="10" fillId="0" borderId="1" xfId="1" applyFont="1" applyFill="1" applyBorder="1" applyAlignment="1">
      <alignment horizontal="center" vertical="center" wrapText="1"/>
    </xf>
    <xf numFmtId="0" fontId="8" fillId="0" borderId="1" xfId="1" applyFont="1" applyFill="1" applyBorder="1" applyAlignment="1">
      <alignment horizontal="center" vertical="center"/>
    </xf>
    <xf numFmtId="165" fontId="4" fillId="3" borderId="2" xfId="0" applyNumberFormat="1" applyFont="1" applyFill="1" applyBorder="1" applyAlignment="1">
      <alignment horizontal="center" vertical="center" wrapText="1"/>
    </xf>
    <xf numFmtId="9" fontId="0" fillId="0" borderId="0" xfId="2" applyFont="1"/>
    <xf numFmtId="0" fontId="0" fillId="0" borderId="0" xfId="0" applyAlignment="1">
      <alignment vertical="center"/>
    </xf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0" fontId="7" fillId="0" borderId="0" xfId="1" applyFont="1" applyFill="1" applyBorder="1" applyAlignment="1">
      <alignment horizontal="center" vertical="center" wrapText="1"/>
    </xf>
    <xf numFmtId="0" fontId="13" fillId="0" borderId="5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4" fillId="0" borderId="6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0" fillId="0" borderId="1" xfId="1" applyFont="1" applyFill="1" applyBorder="1" applyAlignment="1">
      <alignment horizontal="center" vertical="center" wrapText="1"/>
    </xf>
    <xf numFmtId="0" fontId="8" fillId="7" borderId="1" xfId="1" applyFont="1" applyFill="1" applyBorder="1" applyAlignment="1">
      <alignment horizontal="center" vertical="center"/>
    </xf>
    <xf numFmtId="0" fontId="8" fillId="6" borderId="1" xfId="1" applyFont="1" applyFill="1" applyBorder="1" applyAlignment="1">
      <alignment horizontal="center" vertical="center"/>
    </xf>
    <xf numFmtId="0" fontId="8" fillId="0" borderId="1" xfId="1" applyFont="1" applyFill="1" applyBorder="1" applyAlignment="1">
      <alignment horizontal="center" vertical="center"/>
    </xf>
    <xf numFmtId="0" fontId="8" fillId="5" borderId="1" xfId="1" applyFont="1" applyFill="1" applyBorder="1" applyAlignment="1">
      <alignment horizontal="center" vertical="center"/>
    </xf>
    <xf numFmtId="0" fontId="8" fillId="4" borderId="1" xfId="1" applyFont="1" applyFill="1" applyBorder="1" applyAlignment="1">
      <alignment horizontal="center" vertical="center"/>
    </xf>
    <xf numFmtId="9" fontId="0" fillId="0" borderId="3" xfId="2" applyFont="1" applyFill="1" applyBorder="1" applyAlignment="1">
      <alignment horizontal="center" vertical="center"/>
    </xf>
    <xf numFmtId="9" fontId="0" fillId="0" borderId="4" xfId="2" applyFont="1" applyFill="1" applyBorder="1" applyAlignment="1">
      <alignment horizontal="center" vertical="center"/>
    </xf>
    <xf numFmtId="9" fontId="0" fillId="0" borderId="2" xfId="2" applyFont="1" applyFill="1" applyBorder="1" applyAlignment="1">
      <alignment horizontal="center" vertical="center"/>
    </xf>
    <xf numFmtId="1" fontId="0" fillId="0" borderId="3" xfId="2" applyNumberFormat="1" applyFont="1" applyFill="1" applyBorder="1" applyAlignment="1">
      <alignment horizontal="center" vertical="center"/>
    </xf>
    <xf numFmtId="1" fontId="0" fillId="0" borderId="4" xfId="2" applyNumberFormat="1" applyFont="1" applyFill="1" applyBorder="1" applyAlignment="1">
      <alignment horizontal="center" vertical="center"/>
    </xf>
    <xf numFmtId="1" fontId="0" fillId="0" borderId="2" xfId="2" applyNumberFormat="1" applyFont="1" applyFill="1" applyBorder="1" applyAlignment="1">
      <alignment horizontal="center" vertical="center"/>
    </xf>
    <xf numFmtId="1" fontId="0" fillId="0" borderId="1" xfId="2" applyNumberFormat="1" applyFont="1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9" fontId="0" fillId="0" borderId="3" xfId="0" applyNumberForma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8" fontId="0" fillId="0" borderId="0" xfId="0" applyNumberFormat="1"/>
  </cellXfs>
  <cellStyles count="3">
    <cellStyle name="Normal" xfId="0" builtinId="0"/>
    <cellStyle name="Normal 4" xfId="1"/>
    <cellStyle name="Porcentaje" xfId="2" builtinId="5"/>
  </cellStyles>
  <dxfs count="9">
    <dxf>
      <numFmt numFmtId="165" formatCode="0.0"/>
    </dxf>
    <dxf>
      <numFmt numFmtId="25" formatCode="h:mm"/>
    </dxf>
    <dxf>
      <numFmt numFmtId="25" formatCode="h:mm"/>
    </dxf>
    <dxf>
      <numFmt numFmtId="25" formatCode="h:mm"/>
    </dxf>
    <dxf>
      <numFmt numFmtId="164" formatCode="[h]:mm;@"/>
    </dxf>
    <dxf>
      <numFmt numFmtId="167" formatCode="m/d/yyyy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0"/>
        <name val="Calibri"/>
        <scheme val="minor"/>
      </font>
      <numFmt numFmtId="25" formatCode="h:mm"/>
      <fill>
        <patternFill patternType="solid">
          <fgColor indexed="64"/>
          <bgColor rgb="FF7030A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CCC0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[Consolidado de fallas - CAVALIER.xlsm]Disponibilidad!TablaDisponibilidad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Disponibilidad!$B$3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Disponibilidad!$A$4:$A$5</c:f>
              <c:multiLvlStrCache>
                <c:ptCount val="1"/>
                <c:lvl>
                  <c:pt idx="0">
                    <c:v>(en blanco)</c:v>
                  </c:pt>
                </c:lvl>
                <c:lvl>
                  <c:pt idx="0">
                    <c:v>(en blanco)</c:v>
                  </c:pt>
                </c:lvl>
              </c:multiLvlStrCache>
            </c:multiLvlStrRef>
          </c:cat>
          <c:val>
            <c:numRef>
              <c:f>Disponibilidad!$B$4:$B$5</c:f>
              <c:numCache>
                <c:formatCode>0.0%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66-49C4-B2BB-0B20A2232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7355456"/>
        <c:axId val="677352504"/>
      </c:lineChart>
      <c:catAx>
        <c:axId val="677355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7352504"/>
        <c:crosses val="autoZero"/>
        <c:auto val="1"/>
        <c:lblAlgn val="ctr"/>
        <c:lblOffset val="100"/>
        <c:tickLblSkip val="1"/>
        <c:noMultiLvlLbl val="0"/>
      </c:catAx>
      <c:valAx>
        <c:axId val="67735250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7355456"/>
        <c:crosses val="autoZero"/>
        <c:crossBetween val="between"/>
        <c:minorUnit val="5.000000000000001E-2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</xdr:colOff>
      <xdr:row>2</xdr:row>
      <xdr:rowOff>3810</xdr:rowOff>
    </xdr:from>
    <xdr:to>
      <xdr:col>11</xdr:col>
      <xdr:colOff>777240</xdr:colOff>
      <xdr:row>20</xdr:row>
      <xdr:rowOff>160020</xdr:rowOff>
    </xdr:to>
    <xdr:graphicFrame macro="">
      <xdr:nvGraphicFramePr>
        <xdr:cNvPr id="2" name="Disp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4790.892629629627" createdVersion="6" refreshedVersion="6" minRefreshableVersion="3" recordCount="23">
  <cacheSource type="worksheet">
    <worksheetSource ref="A1:C1048576" sheet="Disponibilidad mensual"/>
  </cacheSource>
  <cacheFields count="3">
    <cacheField name="AÑO" numFmtId="0">
      <sharedItems containsNonDate="0" containsString="0" containsBlank="1" count="1">
        <m/>
      </sharedItems>
    </cacheField>
    <cacheField name="MES" numFmtId="0">
      <sharedItems containsNonDate="0" containsString="0" containsBlank="1" count="1">
        <m/>
      </sharedItems>
    </cacheField>
    <cacheField name="DISPONIBILIDAD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"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  <r>
    <x v="0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sponibilidad" cacheId="14" applyNumberFormats="0" applyBorderFormats="0" applyFontFormats="0" applyPatternFormats="0" applyAlignmentFormats="0" applyWidthHeightFormats="1" dataCaption="Valores" updatedVersion="6" minRefreshableVersion="3" useAutoFormatting="1" rowGrandTotals="0" colGrandTotals="0" createdVersion="6" indent="0" outline="1" outlineData="1" multipleFieldFilters="0" chartFormat="1" rowHeaderCaption="AÑO/MES">
  <location ref="A3:B5" firstHeaderRow="1" firstDataRow="1" firstDataCol="1"/>
  <pivotFields count="3"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dataField="1" numFmtId="9" showAll="0"/>
  </pivotFields>
  <rowFields count="2">
    <field x="0"/>
    <field x="1"/>
  </rowFields>
  <rowItems count="2">
    <i>
      <x/>
    </i>
    <i r="1">
      <x/>
    </i>
  </rowItems>
  <colItems count="1">
    <i/>
  </colItems>
  <dataFields count="1">
    <dataField name="Promedio de DISPONIBILIDAD" fld="2" subtotal="average" baseField="0" baseItem="0" numFmtId="168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a1" displayName="Tabla1" ref="A3:M10" totalsRowShown="0" headerRowDxfId="8" headerRowBorderDxfId="7" tableBorderDxfId="6">
  <autoFilter ref="A3:M10"/>
  <tableColumns count="13">
    <tableColumn id="1" name="Fecha" dataDxfId="5"/>
    <tableColumn id="2" name="Sistema afectado"/>
    <tableColumn id="3" name="Equipo / Componente"/>
    <tableColumn id="4" name="Ubicación / Costado"/>
    <tableColumn id="5" name="Tipo de novedad o Actividad "/>
    <tableColumn id="6" name="0"/>
    <tableColumn id="7" name="02"/>
    <tableColumn id="8" name="Viaje"/>
    <tableColumn id="9" name="Detiene el equipo" dataDxfId="4"/>
    <tableColumn id="10" name=" H Inicial" dataDxfId="3"/>
    <tableColumn id="11" name=" H Final" dataDxfId="2"/>
    <tableColumn id="12" name="Total F/S Parte" dataDxfId="1"/>
    <tableColumn id="13" name="Hora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Q10"/>
  <sheetViews>
    <sheetView tabSelected="1" workbookViewId="0">
      <selection activeCell="B1" sqref="B1"/>
    </sheetView>
  </sheetViews>
  <sheetFormatPr baseColWidth="10" defaultColWidth="9.109375" defaultRowHeight="14.4" x14ac:dyDescent="0.3"/>
  <cols>
    <col min="1" max="1" width="15.5546875" style="4" customWidth="1"/>
    <col min="2" max="2" width="30.6640625" customWidth="1"/>
    <col min="3" max="3" width="28.5546875" customWidth="1"/>
    <col min="4" max="4" width="31.33203125" customWidth="1"/>
    <col min="5" max="5" width="32.33203125" customWidth="1"/>
    <col min="6" max="6" width="35.88671875" customWidth="1"/>
    <col min="7" max="7" width="39.33203125" customWidth="1"/>
    <col min="8" max="8" width="24.33203125" customWidth="1"/>
    <col min="9" max="9" width="24.5546875" style="5" customWidth="1"/>
    <col min="10" max="10" width="12.88671875" style="7" bestFit="1" customWidth="1"/>
    <col min="11" max="11" width="10.33203125" style="7" customWidth="1"/>
    <col min="12" max="12" width="16" style="7" customWidth="1"/>
    <col min="13" max="13" width="9.109375" style="14"/>
    <col min="14" max="15" width="9.109375" style="9"/>
    <col min="16" max="17" width="9.109375" style="6"/>
  </cols>
  <sheetData>
    <row r="1" spans="1:15" ht="15.6" x14ac:dyDescent="0.3">
      <c r="A1" s="3" t="s">
        <v>0</v>
      </c>
      <c r="B1" s="2"/>
      <c r="C1" s="1"/>
      <c r="J1"/>
      <c r="K1"/>
      <c r="L1"/>
    </row>
    <row r="2" spans="1:15" ht="31.95" customHeight="1" x14ac:dyDescent="0.3">
      <c r="J2"/>
      <c r="K2"/>
      <c r="L2"/>
    </row>
    <row r="3" spans="1:15" ht="39" customHeight="1" x14ac:dyDescent="0.3">
      <c r="A3" s="11" t="s">
        <v>1</v>
      </c>
      <c r="B3" s="11" t="s">
        <v>2</v>
      </c>
      <c r="C3" s="11" t="s">
        <v>3</v>
      </c>
      <c r="D3" s="11" t="s">
        <v>4</v>
      </c>
      <c r="E3" s="11" t="s">
        <v>5</v>
      </c>
      <c r="F3" s="11" t="s">
        <v>61</v>
      </c>
      <c r="G3" s="11" t="s">
        <v>62</v>
      </c>
      <c r="H3" s="11" t="s">
        <v>6</v>
      </c>
      <c r="I3" s="12" t="s">
        <v>7</v>
      </c>
      <c r="J3" s="12" t="s">
        <v>8</v>
      </c>
      <c r="K3" s="12" t="s">
        <v>9</v>
      </c>
      <c r="L3" s="13" t="s">
        <v>10</v>
      </c>
      <c r="M3" s="35" t="s">
        <v>50</v>
      </c>
      <c r="N3" s="41"/>
      <c r="O3" s="41"/>
    </row>
    <row r="4" spans="1:15" ht="15.75" customHeight="1" x14ac:dyDescent="0.3">
      <c r="A4" s="40"/>
      <c r="B4" s="33"/>
      <c r="C4" s="34"/>
      <c r="E4" s="34"/>
      <c r="F4" s="34"/>
      <c r="I4"/>
      <c r="N4" s="41"/>
      <c r="O4" s="41"/>
    </row>
    <row r="5" spans="1:15" x14ac:dyDescent="0.3">
      <c r="A5" s="39"/>
    </row>
    <row r="6" spans="1:15" x14ac:dyDescent="0.3">
      <c r="A6" s="38"/>
    </row>
    <row r="7" spans="1:15" x14ac:dyDescent="0.3">
      <c r="A7" s="38"/>
    </row>
    <row r="8" spans="1:15" x14ac:dyDescent="0.3">
      <c r="A8" s="38"/>
    </row>
    <row r="9" spans="1:15" x14ac:dyDescent="0.3">
      <c r="A9" s="38"/>
    </row>
    <row r="10" spans="1:15" x14ac:dyDescent="0.3">
      <c r="A10" s="38"/>
    </row>
  </sheetData>
  <mergeCells count="2">
    <mergeCell ref="N3:O3"/>
    <mergeCell ref="N4:O4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3:B5"/>
  <sheetViews>
    <sheetView workbookViewId="0">
      <selection activeCell="B3" sqref="B3"/>
    </sheetView>
  </sheetViews>
  <sheetFormatPr baseColWidth="10" defaultRowHeight="14.4" x14ac:dyDescent="0.3"/>
  <cols>
    <col min="1" max="1" width="14" customWidth="1"/>
    <col min="2" max="2" width="26.44140625" customWidth="1"/>
    <col min="3" max="3" width="5.44140625" customWidth="1"/>
    <col min="4" max="4" width="11.88671875" bestFit="1" customWidth="1"/>
  </cols>
  <sheetData>
    <row r="3" spans="1:2" x14ac:dyDescent="0.3">
      <c r="A3" s="65" t="s">
        <v>63</v>
      </c>
      <c r="B3" t="s">
        <v>64</v>
      </c>
    </row>
    <row r="4" spans="1:2" x14ac:dyDescent="0.3">
      <c r="A4" s="66" t="s">
        <v>65</v>
      </c>
      <c r="B4" s="68"/>
    </row>
    <row r="5" spans="1:2" x14ac:dyDescent="0.3">
      <c r="A5" s="67" t="s">
        <v>65</v>
      </c>
      <c r="B5" s="68"/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3"/>
  <sheetViews>
    <sheetView zoomScaleNormal="100" workbookViewId="0">
      <selection activeCell="E3" sqref="E3"/>
    </sheetView>
  </sheetViews>
  <sheetFormatPr baseColWidth="10" defaultRowHeight="14.4" x14ac:dyDescent="0.3"/>
  <cols>
    <col min="3" max="3" width="15.44140625" bestFit="1" customWidth="1"/>
  </cols>
  <sheetData>
    <row r="1" spans="1:3" x14ac:dyDescent="0.3">
      <c r="A1" t="s">
        <v>59</v>
      </c>
      <c r="B1" t="s">
        <v>58</v>
      </c>
      <c r="C1" t="s">
        <v>60</v>
      </c>
    </row>
    <row r="2" spans="1:3" x14ac:dyDescent="0.3">
      <c r="A2" s="37"/>
      <c r="C2" s="36"/>
    </row>
    <row r="3" spans="1:3" x14ac:dyDescent="0.3">
      <c r="A3" s="37"/>
      <c r="C3" s="36"/>
    </row>
    <row r="4" spans="1:3" x14ac:dyDescent="0.3">
      <c r="A4" s="37"/>
      <c r="C4" s="36"/>
    </row>
    <row r="5" spans="1:3" x14ac:dyDescent="0.3">
      <c r="A5" s="37"/>
      <c r="C5" s="36"/>
    </row>
    <row r="6" spans="1:3" x14ac:dyDescent="0.3">
      <c r="A6" s="37"/>
      <c r="C6" s="36"/>
    </row>
    <row r="7" spans="1:3" x14ac:dyDescent="0.3">
      <c r="A7" s="37"/>
      <c r="C7" s="36"/>
    </row>
    <row r="8" spans="1:3" x14ac:dyDescent="0.3">
      <c r="A8" s="37"/>
      <c r="C8" s="36"/>
    </row>
    <row r="9" spans="1:3" x14ac:dyDescent="0.3">
      <c r="A9" s="37"/>
      <c r="C9" s="36"/>
    </row>
    <row r="10" spans="1:3" x14ac:dyDescent="0.3">
      <c r="A10" s="37"/>
      <c r="C10" s="36"/>
    </row>
    <row r="11" spans="1:3" x14ac:dyDescent="0.3">
      <c r="A11" s="37"/>
      <c r="C11" s="36"/>
    </row>
    <row r="12" spans="1:3" x14ac:dyDescent="0.3">
      <c r="A12" s="37"/>
      <c r="C12" s="36"/>
    </row>
    <row r="13" spans="1:3" x14ac:dyDescent="0.3">
      <c r="A13" s="37"/>
      <c r="C13" s="36"/>
    </row>
    <row r="14" spans="1:3" x14ac:dyDescent="0.3">
      <c r="A14" s="37"/>
      <c r="C14" s="36"/>
    </row>
    <row r="15" spans="1:3" x14ac:dyDescent="0.3">
      <c r="A15" s="37"/>
      <c r="C15" s="36"/>
    </row>
    <row r="16" spans="1:3" x14ac:dyDescent="0.3">
      <c r="A16" s="37"/>
      <c r="C16" s="36"/>
    </row>
    <row r="17" spans="3:3" x14ac:dyDescent="0.3">
      <c r="C17" s="36"/>
    </row>
    <row r="18" spans="3:3" x14ac:dyDescent="0.3">
      <c r="C18" s="36"/>
    </row>
    <row r="19" spans="3:3" x14ac:dyDescent="0.3">
      <c r="C19" s="36"/>
    </row>
    <row r="20" spans="3:3" x14ac:dyDescent="0.3">
      <c r="C20" s="36"/>
    </row>
    <row r="21" spans="3:3" x14ac:dyDescent="0.3">
      <c r="C21" s="36"/>
    </row>
    <row r="22" spans="3:3" x14ac:dyDescent="0.3">
      <c r="C22" s="36"/>
    </row>
    <row r="23" spans="3:3" x14ac:dyDescent="0.3">
      <c r="C23" s="3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Q29"/>
  <sheetViews>
    <sheetView workbookViewId="0">
      <selection activeCell="B1" sqref="B1"/>
    </sheetView>
  </sheetViews>
  <sheetFormatPr baseColWidth="10" defaultColWidth="11.44140625" defaultRowHeight="14.4" x14ac:dyDescent="0.3"/>
  <cols>
    <col min="1" max="1" width="11.44140625" style="10"/>
    <col min="2" max="2" width="15.6640625" style="10" customWidth="1"/>
    <col min="3" max="7" width="11.5546875"/>
    <col min="8" max="10" width="11.44140625" hidden="1" customWidth="1"/>
    <col min="11" max="11" width="20.5546875" style="22" hidden="1" customWidth="1"/>
    <col min="12" max="12" width="20.5546875" style="20" customWidth="1"/>
    <col min="13" max="14" width="24.44140625" style="20" customWidth="1"/>
    <col min="15" max="15" width="20.5546875" style="17" hidden="1" customWidth="1"/>
    <col min="16" max="16" width="20.5546875" style="17" customWidth="1"/>
    <col min="17" max="17" width="25.88671875" bestFit="1" customWidth="1"/>
    <col min="18" max="16384" width="11.44140625" style="18"/>
  </cols>
  <sheetData>
    <row r="1" spans="1:17" ht="27" x14ac:dyDescent="0.3">
      <c r="A1" s="8" t="s">
        <v>16</v>
      </c>
      <c r="B1" s="15">
        <v>8</v>
      </c>
      <c r="C1" s="8" t="s">
        <v>17</v>
      </c>
      <c r="D1" s="6">
        <v>31</v>
      </c>
      <c r="E1" s="8" t="s">
        <v>18</v>
      </c>
      <c r="F1" s="6">
        <f>D1*24</f>
        <v>744</v>
      </c>
      <c r="G1" s="6"/>
      <c r="H1" s="6"/>
      <c r="I1" s="6"/>
      <c r="J1" s="6"/>
      <c r="K1" s="47" t="s">
        <v>49</v>
      </c>
      <c r="L1" s="47"/>
      <c r="M1" s="47"/>
      <c r="N1" s="47"/>
      <c r="O1" s="47"/>
      <c r="P1" s="47"/>
      <c r="Q1" s="47"/>
    </row>
    <row r="2" spans="1:17" s="32" customFormat="1" x14ac:dyDescent="0.3">
      <c r="A2" s="42" t="s">
        <v>43</v>
      </c>
      <c r="B2" s="43"/>
      <c r="C2" s="44" t="s">
        <v>44</v>
      </c>
      <c r="D2" s="45"/>
      <c r="E2" s="46"/>
      <c r="F2" s="27" t="s">
        <v>45</v>
      </c>
      <c r="G2" s="27" t="s">
        <v>51</v>
      </c>
      <c r="H2" s="27" t="s">
        <v>53</v>
      </c>
      <c r="I2" s="28" t="s">
        <v>52</v>
      </c>
      <c r="J2" s="28" t="s">
        <v>54</v>
      </c>
      <c r="K2" s="29" t="s">
        <v>46</v>
      </c>
      <c r="L2" s="30" t="s">
        <v>46</v>
      </c>
      <c r="M2" s="30" t="s">
        <v>55</v>
      </c>
      <c r="N2" s="30" t="s">
        <v>57</v>
      </c>
      <c r="O2" s="31" t="s">
        <v>47</v>
      </c>
      <c r="P2" s="31" t="s">
        <v>47</v>
      </c>
      <c r="Q2" s="27" t="s">
        <v>48</v>
      </c>
    </row>
    <row r="3" spans="1:17" ht="15.6" x14ac:dyDescent="0.3">
      <c r="A3" s="48" t="s">
        <v>19</v>
      </c>
      <c r="B3" s="48"/>
      <c r="C3" s="51" t="s">
        <v>19</v>
      </c>
      <c r="D3" s="51"/>
      <c r="E3" s="51"/>
      <c r="F3" s="16">
        <v>0</v>
      </c>
      <c r="G3" s="16">
        <v>0</v>
      </c>
      <c r="H3" s="23" t="str">
        <f>IF(G3=0,"Sin Datos",($F$1-F3)/G3)</f>
        <v>Sin Datos</v>
      </c>
      <c r="I3" s="24" t="str">
        <f>IF(H3="Sin Datos","Sin Datos",1/H3)</f>
        <v>Sin Datos</v>
      </c>
      <c r="J3" s="24" t="str">
        <f>IF(H3="Sin Datos","Sin Datos",$F$1/H3)</f>
        <v>Sin Datos</v>
      </c>
      <c r="K3" s="21" t="str">
        <f>IF(H3="Sin Datos","1",EXP(-(J3)))</f>
        <v>1</v>
      </c>
      <c r="L3" s="19">
        <f>K3*100%</f>
        <v>1</v>
      </c>
      <c r="M3" s="25" t="str">
        <f>K3</f>
        <v>1</v>
      </c>
      <c r="N3" s="19">
        <f>M3*100%</f>
        <v>1</v>
      </c>
      <c r="O3" s="25" t="str">
        <f>K3</f>
        <v>1</v>
      </c>
      <c r="P3" s="19">
        <f>O3*100%</f>
        <v>1</v>
      </c>
      <c r="Q3" s="62">
        <f>P3*P4*P7*P9*P21</f>
        <v>1</v>
      </c>
    </row>
    <row r="4" spans="1:17" ht="15.6" x14ac:dyDescent="0.3">
      <c r="A4" s="48" t="s">
        <v>20</v>
      </c>
      <c r="B4" s="48"/>
      <c r="C4" s="51" t="s">
        <v>21</v>
      </c>
      <c r="D4" s="51"/>
      <c r="E4" s="51"/>
      <c r="F4" s="16">
        <v>0</v>
      </c>
      <c r="G4" s="16">
        <v>0</v>
      </c>
      <c r="H4" s="23" t="str">
        <f t="shared" ref="H4:H29" si="0">IF(G4=0,"Sin Datos",($F$1-F4)/G4)</f>
        <v>Sin Datos</v>
      </c>
      <c r="I4" s="24" t="str">
        <f t="shared" ref="I4:I29" si="1">IF(H4="Sin Datos","Sin Datos",1/H4)</f>
        <v>Sin Datos</v>
      </c>
      <c r="J4" s="24" t="str">
        <f t="shared" ref="J4:J29" si="2">IF(H4="Sin Datos","Sin Datos",$F$1/H4)</f>
        <v>Sin Datos</v>
      </c>
      <c r="K4" s="21" t="str">
        <f t="shared" ref="K4:K29" si="3">IF(H4="Sin Datos","1",EXP(-(J4)))</f>
        <v>1</v>
      </c>
      <c r="L4" s="19">
        <f t="shared" ref="L4:L29" si="4">K4*100%</f>
        <v>1</v>
      </c>
      <c r="M4" s="60">
        <f>L4*L5*L6</f>
        <v>1</v>
      </c>
      <c r="N4" s="61">
        <f>M4*100%</f>
        <v>1</v>
      </c>
      <c r="O4" s="60">
        <f>(K4*K5*K6)</f>
        <v>1</v>
      </c>
      <c r="P4" s="61">
        <f>O4*100%</f>
        <v>1</v>
      </c>
      <c r="Q4" s="63"/>
    </row>
    <row r="5" spans="1:17" ht="15.6" x14ac:dyDescent="0.3">
      <c r="A5" s="48" t="s">
        <v>20</v>
      </c>
      <c r="B5" s="48"/>
      <c r="C5" s="51" t="s">
        <v>22</v>
      </c>
      <c r="D5" s="51"/>
      <c r="E5" s="51"/>
      <c r="F5" s="16">
        <v>0</v>
      </c>
      <c r="G5" s="16">
        <v>0</v>
      </c>
      <c r="H5" s="23" t="str">
        <f t="shared" si="0"/>
        <v>Sin Datos</v>
      </c>
      <c r="I5" s="24" t="str">
        <f t="shared" si="1"/>
        <v>Sin Datos</v>
      </c>
      <c r="J5" s="24" t="str">
        <f t="shared" si="2"/>
        <v>Sin Datos</v>
      </c>
      <c r="K5" s="21" t="str">
        <f t="shared" si="3"/>
        <v>1</v>
      </c>
      <c r="L5" s="19">
        <f t="shared" si="4"/>
        <v>1</v>
      </c>
      <c r="M5" s="60"/>
      <c r="N5" s="61"/>
      <c r="O5" s="60"/>
      <c r="P5" s="61"/>
      <c r="Q5" s="63"/>
    </row>
    <row r="6" spans="1:17" ht="15.6" x14ac:dyDescent="0.3">
      <c r="A6" s="48" t="s">
        <v>20</v>
      </c>
      <c r="B6" s="48"/>
      <c r="C6" s="51" t="s">
        <v>23</v>
      </c>
      <c r="D6" s="51"/>
      <c r="E6" s="51"/>
      <c r="F6" s="16">
        <v>0</v>
      </c>
      <c r="G6" s="16">
        <v>0</v>
      </c>
      <c r="H6" s="23" t="str">
        <f t="shared" si="0"/>
        <v>Sin Datos</v>
      </c>
      <c r="I6" s="24" t="str">
        <f t="shared" si="1"/>
        <v>Sin Datos</v>
      </c>
      <c r="J6" s="24" t="str">
        <f t="shared" si="2"/>
        <v>Sin Datos</v>
      </c>
      <c r="K6" s="21" t="str">
        <f t="shared" si="3"/>
        <v>1</v>
      </c>
      <c r="L6" s="19">
        <f t="shared" si="4"/>
        <v>1</v>
      </c>
      <c r="M6" s="60"/>
      <c r="N6" s="61"/>
      <c r="O6" s="60"/>
      <c r="P6" s="61"/>
      <c r="Q6" s="63"/>
    </row>
    <row r="7" spans="1:17" ht="15.6" x14ac:dyDescent="0.3">
      <c r="A7" s="48" t="s">
        <v>24</v>
      </c>
      <c r="B7" s="48"/>
      <c r="C7" s="51" t="s">
        <v>25</v>
      </c>
      <c r="D7" s="51"/>
      <c r="E7" s="51"/>
      <c r="F7" s="16">
        <v>0</v>
      </c>
      <c r="G7" s="16">
        <v>0</v>
      </c>
      <c r="H7" s="23" t="str">
        <f t="shared" si="0"/>
        <v>Sin Datos</v>
      </c>
      <c r="I7" s="24" t="str">
        <f t="shared" si="1"/>
        <v>Sin Datos</v>
      </c>
      <c r="J7" s="24" t="str">
        <f t="shared" si="2"/>
        <v>Sin Datos</v>
      </c>
      <c r="K7" s="21" t="str">
        <f t="shared" si="3"/>
        <v>1</v>
      </c>
      <c r="L7" s="19">
        <f t="shared" si="4"/>
        <v>1</v>
      </c>
      <c r="M7" s="57">
        <f>O7</f>
        <v>1</v>
      </c>
      <c r="N7" s="54">
        <f>M7*100%</f>
        <v>1</v>
      </c>
      <c r="O7" s="57">
        <f>1-((1-K7)*(1-K8))</f>
        <v>1</v>
      </c>
      <c r="P7" s="54">
        <f>O7*100%</f>
        <v>1</v>
      </c>
      <c r="Q7" s="63"/>
    </row>
    <row r="8" spans="1:17" ht="15.6" x14ac:dyDescent="0.3">
      <c r="A8" s="48" t="s">
        <v>24</v>
      </c>
      <c r="B8" s="48"/>
      <c r="C8" s="51" t="s">
        <v>26</v>
      </c>
      <c r="D8" s="51"/>
      <c r="E8" s="51"/>
      <c r="F8" s="16">
        <v>0</v>
      </c>
      <c r="G8" s="16">
        <v>0</v>
      </c>
      <c r="H8" s="23" t="str">
        <f t="shared" si="0"/>
        <v>Sin Datos</v>
      </c>
      <c r="I8" s="24" t="str">
        <f t="shared" si="1"/>
        <v>Sin Datos</v>
      </c>
      <c r="J8" s="24" t="str">
        <f t="shared" si="2"/>
        <v>Sin Datos</v>
      </c>
      <c r="K8" s="21" t="str">
        <f t="shared" si="3"/>
        <v>1</v>
      </c>
      <c r="L8" s="19">
        <f t="shared" si="4"/>
        <v>1</v>
      </c>
      <c r="M8" s="59"/>
      <c r="N8" s="56"/>
      <c r="O8" s="59"/>
      <c r="P8" s="56"/>
      <c r="Q8" s="63"/>
    </row>
    <row r="9" spans="1:17" ht="15.6" x14ac:dyDescent="0.3">
      <c r="A9" s="48" t="s">
        <v>11</v>
      </c>
      <c r="B9" s="48"/>
      <c r="C9" s="50" t="s">
        <v>27</v>
      </c>
      <c r="D9" s="50"/>
      <c r="E9" s="50"/>
      <c r="F9" s="16">
        <v>0</v>
      </c>
      <c r="G9" s="16">
        <v>0</v>
      </c>
      <c r="H9" s="23" t="str">
        <f t="shared" si="0"/>
        <v>Sin Datos</v>
      </c>
      <c r="I9" s="24" t="str">
        <f t="shared" si="1"/>
        <v>Sin Datos</v>
      </c>
      <c r="J9" s="24" t="str">
        <f t="shared" si="2"/>
        <v>Sin Datos</v>
      </c>
      <c r="K9" s="21" t="str">
        <f t="shared" si="3"/>
        <v>1</v>
      </c>
      <c r="L9" s="19">
        <f t="shared" si="4"/>
        <v>1</v>
      </c>
      <c r="M9" s="60">
        <f>K9*K13*K17*K20</f>
        <v>1</v>
      </c>
      <c r="N9" s="61">
        <f>M9*100%</f>
        <v>1</v>
      </c>
      <c r="O9" s="57">
        <f>N9*N13*N17</f>
        <v>1</v>
      </c>
      <c r="P9" s="54">
        <f>O9*100%</f>
        <v>1</v>
      </c>
      <c r="Q9" s="63"/>
    </row>
    <row r="10" spans="1:17" ht="15.6" x14ac:dyDescent="0.3">
      <c r="A10" s="48" t="s">
        <v>11</v>
      </c>
      <c r="B10" s="48"/>
      <c r="C10" s="52" t="s">
        <v>28</v>
      </c>
      <c r="D10" s="52"/>
      <c r="E10" s="52"/>
      <c r="F10" s="16">
        <v>0</v>
      </c>
      <c r="G10" s="16">
        <v>0</v>
      </c>
      <c r="H10" s="23" t="str">
        <f t="shared" si="0"/>
        <v>Sin Datos</v>
      </c>
      <c r="I10" s="24" t="str">
        <f t="shared" si="1"/>
        <v>Sin Datos</v>
      </c>
      <c r="J10" s="24" t="str">
        <f t="shared" si="2"/>
        <v>Sin Datos</v>
      </c>
      <c r="K10" s="21" t="str">
        <f t="shared" si="3"/>
        <v>1</v>
      </c>
      <c r="L10" s="19">
        <f t="shared" si="4"/>
        <v>1</v>
      </c>
      <c r="M10" s="60"/>
      <c r="N10" s="61"/>
      <c r="O10" s="58"/>
      <c r="P10" s="55"/>
      <c r="Q10" s="63"/>
    </row>
    <row r="11" spans="1:17" ht="15.6" x14ac:dyDescent="0.3">
      <c r="A11" s="48" t="s">
        <v>11</v>
      </c>
      <c r="B11" s="48"/>
      <c r="C11" s="49" t="s">
        <v>29</v>
      </c>
      <c r="D11" s="49"/>
      <c r="E11" s="49"/>
      <c r="F11" s="16">
        <v>0</v>
      </c>
      <c r="G11" s="16">
        <v>0</v>
      </c>
      <c r="H11" s="23" t="str">
        <f t="shared" si="0"/>
        <v>Sin Datos</v>
      </c>
      <c r="I11" s="24" t="str">
        <f t="shared" si="1"/>
        <v>Sin Datos</v>
      </c>
      <c r="J11" s="24" t="str">
        <f t="shared" si="2"/>
        <v>Sin Datos</v>
      </c>
      <c r="K11" s="21" t="str">
        <f t="shared" si="3"/>
        <v>1</v>
      </c>
      <c r="L11" s="19">
        <f t="shared" si="4"/>
        <v>1</v>
      </c>
      <c r="M11" s="60"/>
      <c r="N11" s="61"/>
      <c r="O11" s="58"/>
      <c r="P11" s="55"/>
      <c r="Q11" s="63"/>
    </row>
    <row r="12" spans="1:17" ht="15.6" x14ac:dyDescent="0.3">
      <c r="A12" s="48" t="s">
        <v>11</v>
      </c>
      <c r="B12" s="48"/>
      <c r="C12" s="49" t="s">
        <v>12</v>
      </c>
      <c r="D12" s="49"/>
      <c r="E12" s="49"/>
      <c r="F12" s="16">
        <v>0</v>
      </c>
      <c r="G12" s="16">
        <v>0</v>
      </c>
      <c r="H12" s="23" t="str">
        <f t="shared" si="0"/>
        <v>Sin Datos</v>
      </c>
      <c r="I12" s="24" t="str">
        <f t="shared" si="1"/>
        <v>Sin Datos</v>
      </c>
      <c r="J12" s="24" t="str">
        <f>IF(H12="Sin Datos","Sin Datos",$F$1/H12)</f>
        <v>Sin Datos</v>
      </c>
      <c r="K12" s="21" t="str">
        <f t="shared" si="3"/>
        <v>1</v>
      </c>
      <c r="L12" s="19">
        <f t="shared" si="4"/>
        <v>1</v>
      </c>
      <c r="M12" s="60"/>
      <c r="N12" s="61"/>
      <c r="O12" s="58"/>
      <c r="P12" s="55"/>
      <c r="Q12" s="63"/>
    </row>
    <row r="13" spans="1:17" ht="15.6" x14ac:dyDescent="0.3">
      <c r="A13" s="48" t="s">
        <v>11</v>
      </c>
      <c r="B13" s="48"/>
      <c r="C13" s="50" t="s">
        <v>56</v>
      </c>
      <c r="D13" s="50"/>
      <c r="E13" s="50"/>
      <c r="F13" s="16">
        <v>0</v>
      </c>
      <c r="G13" s="16">
        <v>0</v>
      </c>
      <c r="H13" s="23" t="str">
        <f t="shared" si="0"/>
        <v>Sin Datos</v>
      </c>
      <c r="I13" s="24" t="str">
        <f t="shared" si="1"/>
        <v>Sin Datos</v>
      </c>
      <c r="J13" s="24" t="str">
        <f t="shared" si="2"/>
        <v>Sin Datos</v>
      </c>
      <c r="K13" s="21" t="str">
        <f t="shared" si="3"/>
        <v>1</v>
      </c>
      <c r="L13" s="19">
        <f t="shared" si="4"/>
        <v>1</v>
      </c>
      <c r="M13" s="60">
        <f>+K11*K12*K15*K18</f>
        <v>1</v>
      </c>
      <c r="N13" s="61">
        <f t="shared" ref="N13" si="5">M13*100%</f>
        <v>1</v>
      </c>
      <c r="O13" s="58"/>
      <c r="P13" s="55"/>
      <c r="Q13" s="63"/>
    </row>
    <row r="14" spans="1:17" ht="15.6" x14ac:dyDescent="0.3">
      <c r="A14" s="48" t="s">
        <v>11</v>
      </c>
      <c r="B14" s="48"/>
      <c r="C14" s="52" t="s">
        <v>30</v>
      </c>
      <c r="D14" s="52"/>
      <c r="E14" s="52"/>
      <c r="F14" s="16">
        <v>0</v>
      </c>
      <c r="G14" s="16">
        <v>0</v>
      </c>
      <c r="H14" s="23" t="str">
        <f t="shared" si="0"/>
        <v>Sin Datos</v>
      </c>
      <c r="I14" s="24" t="str">
        <f t="shared" si="1"/>
        <v>Sin Datos</v>
      </c>
      <c r="J14" s="24" t="str">
        <f t="shared" si="2"/>
        <v>Sin Datos</v>
      </c>
      <c r="K14" s="21" t="str">
        <f t="shared" si="3"/>
        <v>1</v>
      </c>
      <c r="L14" s="19">
        <f t="shared" si="4"/>
        <v>1</v>
      </c>
      <c r="M14" s="60"/>
      <c r="N14" s="61"/>
      <c r="O14" s="58"/>
      <c r="P14" s="55"/>
      <c r="Q14" s="63"/>
    </row>
    <row r="15" spans="1:17" ht="15.6" x14ac:dyDescent="0.3">
      <c r="A15" s="48" t="s">
        <v>11</v>
      </c>
      <c r="B15" s="48"/>
      <c r="C15" s="49" t="s">
        <v>31</v>
      </c>
      <c r="D15" s="49"/>
      <c r="E15" s="49"/>
      <c r="F15" s="16">
        <v>0</v>
      </c>
      <c r="G15" s="16">
        <v>0</v>
      </c>
      <c r="H15" s="23" t="str">
        <f t="shared" si="0"/>
        <v>Sin Datos</v>
      </c>
      <c r="I15" s="24" t="str">
        <f t="shared" si="1"/>
        <v>Sin Datos</v>
      </c>
      <c r="J15" s="24" t="str">
        <f t="shared" si="2"/>
        <v>Sin Datos</v>
      </c>
      <c r="K15" s="21" t="str">
        <f t="shared" si="3"/>
        <v>1</v>
      </c>
      <c r="L15" s="19">
        <f t="shared" si="4"/>
        <v>1</v>
      </c>
      <c r="M15" s="60"/>
      <c r="N15" s="61"/>
      <c r="O15" s="58"/>
      <c r="P15" s="55"/>
      <c r="Q15" s="63"/>
    </row>
    <row r="16" spans="1:17" ht="15.6" x14ac:dyDescent="0.3">
      <c r="A16" s="48" t="s">
        <v>11</v>
      </c>
      <c r="B16" s="48"/>
      <c r="C16" s="52" t="s">
        <v>32</v>
      </c>
      <c r="D16" s="52"/>
      <c r="E16" s="52"/>
      <c r="F16" s="16">
        <v>0</v>
      </c>
      <c r="G16" s="16">
        <v>0</v>
      </c>
      <c r="H16" s="23" t="str">
        <f t="shared" si="0"/>
        <v>Sin Datos</v>
      </c>
      <c r="I16" s="24" t="str">
        <f t="shared" si="1"/>
        <v>Sin Datos</v>
      </c>
      <c r="J16" s="24" t="str">
        <f t="shared" si="2"/>
        <v>Sin Datos</v>
      </c>
      <c r="K16" s="21" t="str">
        <f t="shared" si="3"/>
        <v>1</v>
      </c>
      <c r="L16" s="19">
        <f t="shared" si="4"/>
        <v>1</v>
      </c>
      <c r="M16" s="60"/>
      <c r="N16" s="61"/>
      <c r="O16" s="58"/>
      <c r="P16" s="55"/>
      <c r="Q16" s="63"/>
    </row>
    <row r="17" spans="1:17" ht="15.6" x14ac:dyDescent="0.3">
      <c r="A17" s="48" t="s">
        <v>11</v>
      </c>
      <c r="B17" s="48"/>
      <c r="C17" s="50" t="s">
        <v>33</v>
      </c>
      <c r="D17" s="50"/>
      <c r="E17" s="50"/>
      <c r="F17" s="16">
        <v>0</v>
      </c>
      <c r="G17" s="16">
        <v>0</v>
      </c>
      <c r="H17" s="23" t="str">
        <f t="shared" si="0"/>
        <v>Sin Datos</v>
      </c>
      <c r="I17" s="24" t="str">
        <f t="shared" si="1"/>
        <v>Sin Datos</v>
      </c>
      <c r="J17" s="24" t="str">
        <f t="shared" si="2"/>
        <v>Sin Datos</v>
      </c>
      <c r="K17" s="21" t="str">
        <f t="shared" si="3"/>
        <v>1</v>
      </c>
      <c r="L17" s="19">
        <f t="shared" si="4"/>
        <v>1</v>
      </c>
      <c r="M17" s="60">
        <f>+K10*K14*K16*K19</f>
        <v>1</v>
      </c>
      <c r="N17" s="61">
        <f t="shared" ref="N17" si="6">M17*100%</f>
        <v>1</v>
      </c>
      <c r="O17" s="58"/>
      <c r="P17" s="55"/>
      <c r="Q17" s="63"/>
    </row>
    <row r="18" spans="1:17" ht="15.6" x14ac:dyDescent="0.3">
      <c r="A18" s="48" t="s">
        <v>11</v>
      </c>
      <c r="B18" s="48"/>
      <c r="C18" s="49" t="s">
        <v>34</v>
      </c>
      <c r="D18" s="49"/>
      <c r="E18" s="49"/>
      <c r="F18" s="16">
        <v>0</v>
      </c>
      <c r="G18" s="16">
        <v>0</v>
      </c>
      <c r="H18" s="23" t="str">
        <f t="shared" si="0"/>
        <v>Sin Datos</v>
      </c>
      <c r="I18" s="24" t="str">
        <f t="shared" si="1"/>
        <v>Sin Datos</v>
      </c>
      <c r="J18" s="24" t="str">
        <f t="shared" si="2"/>
        <v>Sin Datos</v>
      </c>
      <c r="K18" s="21" t="str">
        <f t="shared" si="3"/>
        <v>1</v>
      </c>
      <c r="L18" s="19">
        <f t="shared" si="4"/>
        <v>1</v>
      </c>
      <c r="M18" s="60"/>
      <c r="N18" s="61"/>
      <c r="O18" s="58"/>
      <c r="P18" s="55"/>
      <c r="Q18" s="63"/>
    </row>
    <row r="19" spans="1:17" ht="15.6" x14ac:dyDescent="0.3">
      <c r="A19" s="48" t="s">
        <v>11</v>
      </c>
      <c r="B19" s="48"/>
      <c r="C19" s="52" t="s">
        <v>35</v>
      </c>
      <c r="D19" s="52"/>
      <c r="E19" s="52"/>
      <c r="F19" s="16">
        <v>0</v>
      </c>
      <c r="G19" s="16">
        <v>0</v>
      </c>
      <c r="H19" s="23" t="str">
        <f t="shared" si="0"/>
        <v>Sin Datos</v>
      </c>
      <c r="I19" s="24" t="str">
        <f t="shared" si="1"/>
        <v>Sin Datos</v>
      </c>
      <c r="J19" s="24" t="str">
        <f t="shared" si="2"/>
        <v>Sin Datos</v>
      </c>
      <c r="K19" s="21" t="str">
        <f t="shared" si="3"/>
        <v>1</v>
      </c>
      <c r="L19" s="19">
        <f t="shared" si="4"/>
        <v>1</v>
      </c>
      <c r="M19" s="60"/>
      <c r="N19" s="61"/>
      <c r="O19" s="58"/>
      <c r="P19" s="55"/>
      <c r="Q19" s="63"/>
    </row>
    <row r="20" spans="1:17" ht="15.6" x14ac:dyDescent="0.3">
      <c r="A20" s="48" t="s">
        <v>11</v>
      </c>
      <c r="B20" s="48"/>
      <c r="C20" s="50" t="s">
        <v>36</v>
      </c>
      <c r="D20" s="50"/>
      <c r="E20" s="50"/>
      <c r="F20" s="16">
        <v>0</v>
      </c>
      <c r="G20" s="16">
        <v>0</v>
      </c>
      <c r="H20" s="23" t="str">
        <f t="shared" si="0"/>
        <v>Sin Datos</v>
      </c>
      <c r="I20" s="24" t="str">
        <f t="shared" si="1"/>
        <v>Sin Datos</v>
      </c>
      <c r="J20" s="24" t="str">
        <f t="shared" si="2"/>
        <v>Sin Datos</v>
      </c>
      <c r="K20" s="21" t="str">
        <f t="shared" si="3"/>
        <v>1</v>
      </c>
      <c r="L20" s="19">
        <f t="shared" si="4"/>
        <v>1</v>
      </c>
      <c r="M20" s="60"/>
      <c r="N20" s="61"/>
      <c r="O20" s="59"/>
      <c r="P20" s="56"/>
      <c r="Q20" s="63"/>
    </row>
    <row r="21" spans="1:17" ht="15.6" x14ac:dyDescent="0.3">
      <c r="A21" s="48" t="s">
        <v>13</v>
      </c>
      <c r="B21" s="48"/>
      <c r="C21" s="53" t="s">
        <v>14</v>
      </c>
      <c r="D21" s="53"/>
      <c r="E21" s="53"/>
      <c r="F21" s="16">
        <v>0</v>
      </c>
      <c r="G21" s="16">
        <v>0</v>
      </c>
      <c r="H21" s="23" t="str">
        <f t="shared" si="0"/>
        <v>Sin Datos</v>
      </c>
      <c r="I21" s="24" t="str">
        <f t="shared" si="1"/>
        <v>Sin Datos</v>
      </c>
      <c r="J21" s="24" t="str">
        <f t="shared" si="2"/>
        <v>Sin Datos</v>
      </c>
      <c r="K21" s="21" t="str">
        <f t="shared" si="3"/>
        <v>1</v>
      </c>
      <c r="L21" s="19">
        <f t="shared" si="4"/>
        <v>1</v>
      </c>
      <c r="M21" s="60">
        <f>K21*K25</f>
        <v>1</v>
      </c>
      <c r="N21" s="61">
        <f>M21*100%</f>
        <v>1</v>
      </c>
      <c r="O21" s="57">
        <f>M21*M23*M25*M26*M27*M28</f>
        <v>1</v>
      </c>
      <c r="P21" s="54">
        <f>O21*100%</f>
        <v>1</v>
      </c>
      <c r="Q21" s="63"/>
    </row>
    <row r="22" spans="1:17" ht="15.6" x14ac:dyDescent="0.3">
      <c r="A22" s="48" t="s">
        <v>13</v>
      </c>
      <c r="B22" s="48"/>
      <c r="C22" s="50" t="s">
        <v>37</v>
      </c>
      <c r="D22" s="50"/>
      <c r="E22" s="50"/>
      <c r="F22" s="16">
        <v>0</v>
      </c>
      <c r="G22" s="16">
        <v>0</v>
      </c>
      <c r="H22" s="23" t="str">
        <f t="shared" si="0"/>
        <v>Sin Datos</v>
      </c>
      <c r="I22" s="24" t="str">
        <f t="shared" si="1"/>
        <v>Sin Datos</v>
      </c>
      <c r="J22" s="24" t="str">
        <f t="shared" si="2"/>
        <v>Sin Datos</v>
      </c>
      <c r="K22" s="21" t="str">
        <f t="shared" si="3"/>
        <v>1</v>
      </c>
      <c r="L22" s="19">
        <f t="shared" si="4"/>
        <v>1</v>
      </c>
      <c r="M22" s="60"/>
      <c r="N22" s="61"/>
      <c r="O22" s="58"/>
      <c r="P22" s="55"/>
      <c r="Q22" s="63"/>
    </row>
    <row r="23" spans="1:17" ht="15.6" x14ac:dyDescent="0.3">
      <c r="A23" s="48" t="s">
        <v>13</v>
      </c>
      <c r="B23" s="48"/>
      <c r="C23" s="51" t="s">
        <v>38</v>
      </c>
      <c r="D23" s="51"/>
      <c r="E23" s="51"/>
      <c r="F23" s="16">
        <v>0</v>
      </c>
      <c r="G23" s="16">
        <v>0</v>
      </c>
      <c r="H23" s="23" t="str">
        <f t="shared" si="0"/>
        <v>Sin Datos</v>
      </c>
      <c r="I23" s="24" t="str">
        <f t="shared" si="1"/>
        <v>Sin Datos</v>
      </c>
      <c r="J23" s="24" t="str">
        <f t="shared" si="2"/>
        <v>Sin Datos</v>
      </c>
      <c r="K23" s="21" t="str">
        <f t="shared" si="3"/>
        <v>1</v>
      </c>
      <c r="L23" s="19">
        <f t="shared" si="4"/>
        <v>1</v>
      </c>
      <c r="M23" s="60">
        <f>+K22*K26</f>
        <v>1</v>
      </c>
      <c r="N23" s="61">
        <f>M23*100%</f>
        <v>1</v>
      </c>
      <c r="O23" s="58"/>
      <c r="P23" s="55"/>
      <c r="Q23" s="63"/>
    </row>
    <row r="24" spans="1:17" ht="15.6" x14ac:dyDescent="0.3">
      <c r="A24" s="48" t="s">
        <v>13</v>
      </c>
      <c r="B24" s="48"/>
      <c r="C24" s="51" t="s">
        <v>39</v>
      </c>
      <c r="D24" s="51"/>
      <c r="E24" s="51"/>
      <c r="F24" s="16">
        <v>0</v>
      </c>
      <c r="G24" s="16">
        <v>0</v>
      </c>
      <c r="H24" s="23" t="str">
        <f t="shared" si="0"/>
        <v>Sin Datos</v>
      </c>
      <c r="I24" s="24" t="str">
        <f t="shared" si="1"/>
        <v>Sin Datos</v>
      </c>
      <c r="J24" s="24" t="str">
        <f t="shared" si="2"/>
        <v>Sin Datos</v>
      </c>
      <c r="K24" s="21" t="str">
        <f t="shared" si="3"/>
        <v>1</v>
      </c>
      <c r="L24" s="19">
        <f t="shared" si="4"/>
        <v>1</v>
      </c>
      <c r="M24" s="60"/>
      <c r="N24" s="61"/>
      <c r="O24" s="58"/>
      <c r="P24" s="55"/>
      <c r="Q24" s="63"/>
    </row>
    <row r="25" spans="1:17" ht="15.6" x14ac:dyDescent="0.3">
      <c r="A25" s="48" t="s">
        <v>13</v>
      </c>
      <c r="B25" s="48"/>
      <c r="C25" s="53" t="s">
        <v>40</v>
      </c>
      <c r="D25" s="53"/>
      <c r="E25" s="53"/>
      <c r="F25" s="16">
        <v>0</v>
      </c>
      <c r="G25" s="16">
        <v>0</v>
      </c>
      <c r="H25" s="23" t="str">
        <f t="shared" si="0"/>
        <v>Sin Datos</v>
      </c>
      <c r="I25" s="24" t="str">
        <f t="shared" si="1"/>
        <v>Sin Datos</v>
      </c>
      <c r="J25" s="24" t="str">
        <f t="shared" si="2"/>
        <v>Sin Datos</v>
      </c>
      <c r="K25" s="21" t="str">
        <f t="shared" si="3"/>
        <v>1</v>
      </c>
      <c r="L25" s="19">
        <f t="shared" si="4"/>
        <v>1</v>
      </c>
      <c r="M25" s="26" t="str">
        <f>K24</f>
        <v>1</v>
      </c>
      <c r="N25" s="19">
        <f>M25*100%</f>
        <v>1</v>
      </c>
      <c r="O25" s="58"/>
      <c r="P25" s="55"/>
      <c r="Q25" s="63"/>
    </row>
    <row r="26" spans="1:17" ht="15.6" x14ac:dyDescent="0.3">
      <c r="A26" s="48" t="s">
        <v>13</v>
      </c>
      <c r="B26" s="48"/>
      <c r="C26" s="50" t="s">
        <v>41</v>
      </c>
      <c r="D26" s="50"/>
      <c r="E26" s="50"/>
      <c r="F26" s="16">
        <v>0</v>
      </c>
      <c r="G26" s="16">
        <v>0</v>
      </c>
      <c r="H26" s="23" t="str">
        <f t="shared" si="0"/>
        <v>Sin Datos</v>
      </c>
      <c r="I26" s="24" t="str">
        <f t="shared" si="1"/>
        <v>Sin Datos</v>
      </c>
      <c r="J26" s="24" t="str">
        <f t="shared" si="2"/>
        <v>Sin Datos</v>
      </c>
      <c r="K26" s="21" t="str">
        <f t="shared" si="3"/>
        <v>1</v>
      </c>
      <c r="L26" s="19">
        <f t="shared" si="4"/>
        <v>1</v>
      </c>
      <c r="M26" s="26" t="str">
        <f>K23</f>
        <v>1</v>
      </c>
      <c r="N26" s="19">
        <f t="shared" ref="N26:N27" si="7">M26*100%</f>
        <v>1</v>
      </c>
      <c r="O26" s="58"/>
      <c r="P26" s="55"/>
      <c r="Q26" s="63"/>
    </row>
    <row r="27" spans="1:17" ht="15.6" x14ac:dyDescent="0.3">
      <c r="A27" s="48" t="s">
        <v>13</v>
      </c>
      <c r="B27" s="48"/>
      <c r="C27" s="51" t="s">
        <v>22</v>
      </c>
      <c r="D27" s="51"/>
      <c r="E27" s="51"/>
      <c r="F27" s="16">
        <v>0</v>
      </c>
      <c r="G27" s="16">
        <v>0</v>
      </c>
      <c r="H27" s="23" t="str">
        <f t="shared" si="0"/>
        <v>Sin Datos</v>
      </c>
      <c r="I27" s="24" t="str">
        <f t="shared" si="1"/>
        <v>Sin Datos</v>
      </c>
      <c r="J27" s="24" t="str">
        <f t="shared" si="2"/>
        <v>Sin Datos</v>
      </c>
      <c r="K27" s="21" t="str">
        <f t="shared" si="3"/>
        <v>1</v>
      </c>
      <c r="L27" s="19">
        <f t="shared" si="4"/>
        <v>1</v>
      </c>
      <c r="M27" s="26" t="str">
        <f>K27</f>
        <v>1</v>
      </c>
      <c r="N27" s="19">
        <f t="shared" si="7"/>
        <v>1</v>
      </c>
      <c r="O27" s="58"/>
      <c r="P27" s="55"/>
      <c r="Q27" s="63"/>
    </row>
    <row r="28" spans="1:17" ht="15.6" x14ac:dyDescent="0.3">
      <c r="A28" s="48" t="s">
        <v>13</v>
      </c>
      <c r="B28" s="48"/>
      <c r="C28" s="49" t="s">
        <v>42</v>
      </c>
      <c r="D28" s="49"/>
      <c r="E28" s="49"/>
      <c r="F28" s="16">
        <v>0</v>
      </c>
      <c r="G28" s="16">
        <v>0</v>
      </c>
      <c r="H28" s="23" t="str">
        <f t="shared" si="0"/>
        <v>Sin Datos</v>
      </c>
      <c r="I28" s="24" t="str">
        <f t="shared" si="1"/>
        <v>Sin Datos</v>
      </c>
      <c r="J28" s="24" t="str">
        <f t="shared" si="2"/>
        <v>Sin Datos</v>
      </c>
      <c r="K28" s="21" t="str">
        <f t="shared" si="3"/>
        <v>1</v>
      </c>
      <c r="L28" s="19">
        <f t="shared" si="4"/>
        <v>1</v>
      </c>
      <c r="M28" s="60">
        <f>1-((1-K28)*(1-K29))</f>
        <v>1</v>
      </c>
      <c r="N28" s="61">
        <f>M28*100%</f>
        <v>1</v>
      </c>
      <c r="O28" s="58"/>
      <c r="P28" s="55"/>
      <c r="Q28" s="63"/>
    </row>
    <row r="29" spans="1:17" ht="15.6" x14ac:dyDescent="0.3">
      <c r="A29" s="48" t="s">
        <v>13</v>
      </c>
      <c r="B29" s="48"/>
      <c r="C29" s="49" t="s">
        <v>15</v>
      </c>
      <c r="D29" s="49"/>
      <c r="E29" s="49"/>
      <c r="F29" s="16">
        <v>0</v>
      </c>
      <c r="G29" s="16">
        <v>0</v>
      </c>
      <c r="H29" s="23" t="str">
        <f t="shared" si="0"/>
        <v>Sin Datos</v>
      </c>
      <c r="I29" s="24" t="str">
        <f t="shared" si="1"/>
        <v>Sin Datos</v>
      </c>
      <c r="J29" s="24" t="str">
        <f t="shared" si="2"/>
        <v>Sin Datos</v>
      </c>
      <c r="K29" s="21" t="str">
        <f t="shared" si="3"/>
        <v>1</v>
      </c>
      <c r="L29" s="19">
        <f t="shared" si="4"/>
        <v>1</v>
      </c>
      <c r="M29" s="60"/>
      <c r="N29" s="61"/>
      <c r="O29" s="59"/>
      <c r="P29" s="56"/>
      <c r="Q29" s="64"/>
    </row>
  </sheetData>
  <protectedRanges>
    <protectedRange sqref="A1:F1" name="Rango1"/>
  </protectedRanges>
  <mergeCells count="82">
    <mergeCell ref="Q3:Q29"/>
    <mergeCell ref="N28:N29"/>
    <mergeCell ref="M21:M22"/>
    <mergeCell ref="M23:M24"/>
    <mergeCell ref="N21:N22"/>
    <mergeCell ref="N23:N24"/>
    <mergeCell ref="N4:N6"/>
    <mergeCell ref="N7:N8"/>
    <mergeCell ref="N9:N12"/>
    <mergeCell ref="N13:N16"/>
    <mergeCell ref="N17:N20"/>
    <mergeCell ref="M4:M6"/>
    <mergeCell ref="M7:M8"/>
    <mergeCell ref="M28:M29"/>
    <mergeCell ref="M9:M12"/>
    <mergeCell ref="M13:M16"/>
    <mergeCell ref="M17:M20"/>
    <mergeCell ref="O4:O6"/>
    <mergeCell ref="O7:O8"/>
    <mergeCell ref="P4:P6"/>
    <mergeCell ref="P7:P8"/>
    <mergeCell ref="P9:P20"/>
    <mergeCell ref="P21:P29"/>
    <mergeCell ref="O21:O29"/>
    <mergeCell ref="O9:O20"/>
    <mergeCell ref="A6:B6"/>
    <mergeCell ref="C6:E6"/>
    <mergeCell ref="A9:B9"/>
    <mergeCell ref="C9:E9"/>
    <mergeCell ref="A10:B10"/>
    <mergeCell ref="C10:E10"/>
    <mergeCell ref="A7:B7"/>
    <mergeCell ref="C7:E7"/>
    <mergeCell ref="A8:B8"/>
    <mergeCell ref="C8:E8"/>
    <mergeCell ref="A11:B11"/>
    <mergeCell ref="C11:E11"/>
    <mergeCell ref="A12:B12"/>
    <mergeCell ref="A3:B3"/>
    <mergeCell ref="C3:E3"/>
    <mergeCell ref="A4:B4"/>
    <mergeCell ref="C4:E4"/>
    <mergeCell ref="A5:B5"/>
    <mergeCell ref="C5:E5"/>
    <mergeCell ref="C12:E12"/>
    <mergeCell ref="A13:B13"/>
    <mergeCell ref="C13:E13"/>
    <mergeCell ref="A14:B14"/>
    <mergeCell ref="C14:E14"/>
    <mergeCell ref="A15:B15"/>
    <mergeCell ref="C15:E15"/>
    <mergeCell ref="A16:B16"/>
    <mergeCell ref="C16:E16"/>
    <mergeCell ref="A17:B17"/>
    <mergeCell ref="C17:E17"/>
    <mergeCell ref="A18:B18"/>
    <mergeCell ref="C18:E18"/>
    <mergeCell ref="A19:B19"/>
    <mergeCell ref="C19:E19"/>
    <mergeCell ref="C25:E25"/>
    <mergeCell ref="A20:B20"/>
    <mergeCell ref="C20:E20"/>
    <mergeCell ref="A21:B21"/>
    <mergeCell ref="C21:E21"/>
    <mergeCell ref="A22:B22"/>
    <mergeCell ref="C22:E22"/>
    <mergeCell ref="A2:B2"/>
    <mergeCell ref="C2:E2"/>
    <mergeCell ref="K1:Q1"/>
    <mergeCell ref="A29:B29"/>
    <mergeCell ref="C29:E29"/>
    <mergeCell ref="A26:B26"/>
    <mergeCell ref="C26:E26"/>
    <mergeCell ref="A27:B27"/>
    <mergeCell ref="C27:E27"/>
    <mergeCell ref="A28:B28"/>
    <mergeCell ref="C28:E28"/>
    <mergeCell ref="A23:B23"/>
    <mergeCell ref="C23:E23"/>
    <mergeCell ref="A24:B24"/>
    <mergeCell ref="C24:E24"/>
    <mergeCell ref="A25:B25"/>
  </mergeCell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lista!$A$1:$A$12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12"/>
  <sheetViews>
    <sheetView workbookViewId="0">
      <selection activeCell="B6" sqref="B6"/>
    </sheetView>
  </sheetViews>
  <sheetFormatPr baseColWidth="10" defaultRowHeight="14.4" x14ac:dyDescent="0.3"/>
  <sheetData>
    <row r="1" spans="1:1" x14ac:dyDescent="0.3">
      <c r="A1">
        <v>1</v>
      </c>
    </row>
    <row r="2" spans="1:1" x14ac:dyDescent="0.3">
      <c r="A2">
        <v>2</v>
      </c>
    </row>
    <row r="3" spans="1:1" x14ac:dyDescent="0.3">
      <c r="A3">
        <v>3</v>
      </c>
    </row>
    <row r="4" spans="1:1" x14ac:dyDescent="0.3">
      <c r="A4">
        <v>4</v>
      </c>
    </row>
    <row r="5" spans="1:1" x14ac:dyDescent="0.3">
      <c r="A5">
        <v>5</v>
      </c>
    </row>
    <row r="6" spans="1:1" x14ac:dyDescent="0.3">
      <c r="A6">
        <v>6</v>
      </c>
    </row>
    <row r="7" spans="1:1" x14ac:dyDescent="0.3">
      <c r="A7">
        <v>7</v>
      </c>
    </row>
    <row r="8" spans="1:1" x14ac:dyDescent="0.3">
      <c r="A8">
        <v>8</v>
      </c>
    </row>
    <row r="9" spans="1:1" x14ac:dyDescent="0.3">
      <c r="A9">
        <v>9</v>
      </c>
    </row>
    <row r="10" spans="1:1" x14ac:dyDescent="0.3">
      <c r="A10">
        <v>10</v>
      </c>
    </row>
    <row r="11" spans="1:1" x14ac:dyDescent="0.3">
      <c r="A11">
        <v>11</v>
      </c>
    </row>
    <row r="12" spans="1:1" x14ac:dyDescent="0.3">
      <c r="A12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Historial de Novedades</vt:lpstr>
      <vt:lpstr>Disponibilidad</vt:lpstr>
      <vt:lpstr>Disponibilidad mensual</vt:lpstr>
      <vt:lpstr>Informe</vt:lpstr>
      <vt:lpstr>lista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2022-08-18T00:26:11Z</dcterms:modified>
</cp:coreProperties>
</file>