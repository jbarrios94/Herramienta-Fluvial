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yecto Impala\FLUVIAL 1\Logistica\Avance operativo\"/>
    </mc:Choice>
  </mc:AlternateContent>
  <bookViews>
    <workbookView xWindow="480" yWindow="156" windowWidth="18192" windowHeight="11256" tabRatio="601"/>
  </bookViews>
  <sheets>
    <sheet name="TD" sheetId="5" r:id="rId1"/>
    <sheet name="Actual" sheetId="2" r:id="rId2"/>
    <sheet name="Date" sheetId="3" r:id="rId3"/>
    <sheet name="Report" sheetId="4" r:id="rId4"/>
  </sheets>
  <calcPr calcId="162913"/>
  <pivotCaches>
    <pivotCache cacheId="47" r:id="rId5"/>
    <pivotCache cacheId="61" r:id="rId6"/>
  </pivotCaches>
</workbook>
</file>

<file path=xl/calcChain.xml><?xml version="1.0" encoding="utf-8"?>
<calcChain xmlns="http://schemas.openxmlformats.org/spreadsheetml/2006/main">
  <c r="B4" i="2" l="1"/>
  <c r="B2" i="2"/>
  <c r="T16" i="2" l="1"/>
  <c r="I17" i="2" l="1"/>
  <c r="K15" i="2"/>
  <c r="L15" i="2"/>
  <c r="M15" i="2"/>
  <c r="I13" i="2"/>
  <c r="C6" i="2"/>
  <c r="D6" i="2"/>
  <c r="K6" i="2"/>
  <c r="L6" i="2"/>
  <c r="M6" i="2"/>
  <c r="H6" i="2"/>
  <c r="H7" i="2"/>
  <c r="J6" i="2"/>
  <c r="J7" i="2"/>
  <c r="J8" i="2"/>
  <c r="J9" i="2"/>
  <c r="J10" i="2"/>
  <c r="J11" i="2"/>
  <c r="C15" i="2"/>
  <c r="D15" i="2"/>
  <c r="H15" i="2"/>
  <c r="J14" i="2"/>
  <c r="J15" i="2"/>
  <c r="H19" i="2"/>
  <c r="H21" i="2"/>
  <c r="J17" i="2"/>
  <c r="J18" i="2"/>
  <c r="J19" i="2"/>
  <c r="J20" i="2"/>
  <c r="J21" i="2"/>
  <c r="J22" i="2"/>
  <c r="C19" i="2" l="1"/>
  <c r="D19" i="2"/>
  <c r="K19" i="2"/>
  <c r="L19" i="2"/>
  <c r="M19" i="2"/>
  <c r="H11" i="2" l="1"/>
  <c r="I16" i="2"/>
  <c r="I19" i="2"/>
  <c r="H8" i="2" l="1"/>
  <c r="C11" i="2"/>
  <c r="D11" i="2"/>
  <c r="K11" i="2"/>
  <c r="L11" i="2"/>
  <c r="M11" i="2"/>
  <c r="H22" i="2"/>
  <c r="I11" i="2" l="1"/>
  <c r="I15" i="2"/>
  <c r="D21" i="2"/>
  <c r="K21" i="2"/>
  <c r="L21" i="2"/>
  <c r="M21" i="2"/>
  <c r="C21" i="2"/>
  <c r="C22" i="2"/>
  <c r="I22" i="2"/>
  <c r="D22" i="2" l="1"/>
  <c r="K22" i="2"/>
  <c r="L22" i="2"/>
  <c r="M22" i="2"/>
  <c r="C10" i="2" l="1"/>
  <c r="H9" i="2"/>
  <c r="H10" i="2"/>
  <c r="L10" i="2"/>
  <c r="I6" i="2" l="1"/>
  <c r="D10" i="2" l="1"/>
  <c r="I10" i="2"/>
  <c r="M10" i="2"/>
  <c r="I14" i="2"/>
  <c r="K10" i="2" l="1"/>
  <c r="C20" i="2" l="1"/>
  <c r="D20" i="2"/>
  <c r="H20" i="2"/>
  <c r="I20" i="2"/>
  <c r="K20" i="2"/>
  <c r="L20" i="2"/>
  <c r="M20" i="2"/>
  <c r="C7" i="2" l="1"/>
  <c r="D7" i="2"/>
  <c r="I7" i="2"/>
  <c r="K7" i="2"/>
  <c r="L7" i="2"/>
  <c r="M7" i="2"/>
  <c r="I21" i="2" l="1"/>
  <c r="C9" i="2" l="1"/>
  <c r="D9" i="2"/>
  <c r="K9" i="2"/>
  <c r="L9" i="2"/>
  <c r="M9" i="2"/>
  <c r="I9" i="2" l="1"/>
  <c r="M18" i="2" l="1"/>
  <c r="D14" i="2" l="1"/>
  <c r="D18" i="2" l="1"/>
  <c r="I8" i="2" l="1"/>
  <c r="I18" i="2" l="1"/>
  <c r="C14" i="2" l="1"/>
  <c r="K14" i="2"/>
  <c r="L14" i="2"/>
  <c r="M14" i="2"/>
  <c r="H14" i="2" l="1"/>
  <c r="D8" i="2" l="1"/>
  <c r="N12" i="2" l="1"/>
  <c r="C8" i="2" l="1"/>
  <c r="K8" i="2"/>
  <c r="L8" i="2"/>
  <c r="M8" i="2"/>
  <c r="N21" i="2" l="1"/>
  <c r="O21" i="2"/>
  <c r="N22" i="2"/>
  <c r="O22" i="2"/>
  <c r="H18" i="2" l="1"/>
  <c r="O15" i="2" l="1"/>
  <c r="K18" i="2"/>
  <c r="C18" i="2"/>
  <c r="P18" i="2" s="1"/>
  <c r="N14" i="2"/>
  <c r="O14" i="2"/>
  <c r="N13" i="2"/>
  <c r="O10" i="2"/>
  <c r="M3" i="2"/>
  <c r="L3" i="2"/>
  <c r="K3" i="2"/>
  <c r="J3" i="2"/>
  <c r="I3" i="2"/>
  <c r="H3" i="2"/>
  <c r="G3" i="2"/>
  <c r="F3" i="2"/>
  <c r="E3" i="2"/>
  <c r="D3" i="2"/>
  <c r="C3" i="2"/>
  <c r="B3" i="2"/>
  <c r="A3" i="2"/>
  <c r="M4" i="2"/>
  <c r="L4" i="2"/>
  <c r="K4" i="2"/>
  <c r="J4" i="2"/>
  <c r="I4" i="2"/>
  <c r="H4" i="2"/>
  <c r="G4" i="2"/>
  <c r="F4" i="2"/>
  <c r="E4" i="2"/>
  <c r="D4" i="2"/>
  <c r="C4" i="2"/>
  <c r="T7" i="2"/>
  <c r="T8" i="2"/>
  <c r="T9" i="2"/>
  <c r="T10" i="2"/>
  <c r="T11" i="2"/>
  <c r="T12" i="2"/>
  <c r="T13" i="2"/>
  <c r="T14" i="2"/>
  <c r="T17" i="2"/>
  <c r="T18" i="2"/>
  <c r="T19" i="2"/>
  <c r="T20" i="2"/>
  <c r="T21" i="2"/>
  <c r="T22" i="2"/>
  <c r="T6" i="2"/>
  <c r="O7" i="2"/>
  <c r="O8" i="2"/>
  <c r="O9" i="2"/>
  <c r="O11" i="2"/>
  <c r="O12" i="2"/>
  <c r="O13" i="2"/>
  <c r="O16" i="2"/>
  <c r="O17" i="2"/>
  <c r="O18" i="2"/>
  <c r="O19" i="2"/>
  <c r="O20" i="2"/>
  <c r="O6" i="2"/>
  <c r="U11" i="2"/>
  <c r="U12" i="2"/>
  <c r="U13" i="2"/>
  <c r="U14" i="2"/>
  <c r="U16" i="2"/>
  <c r="U17" i="2"/>
  <c r="U18" i="2"/>
  <c r="U19" i="2"/>
  <c r="U20" i="2"/>
  <c r="U21" i="2"/>
  <c r="U22" i="2"/>
  <c r="O3" i="2"/>
  <c r="O4" i="2"/>
  <c r="P13" i="2"/>
  <c r="P14" i="2"/>
  <c r="P16" i="2"/>
  <c r="P17" i="2"/>
  <c r="P20" i="2"/>
  <c r="N7" i="2"/>
  <c r="N8" i="2"/>
  <c r="N9" i="2"/>
  <c r="N10" i="2"/>
  <c r="N11" i="2"/>
  <c r="N15" i="2"/>
  <c r="N16" i="2"/>
  <c r="N17" i="2"/>
  <c r="N18" i="2"/>
  <c r="N19" i="2"/>
  <c r="N20" i="2"/>
  <c r="N6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A4" i="2"/>
  <c r="B1" i="2"/>
  <c r="E1" i="2" s="1"/>
  <c r="P11" i="2"/>
  <c r="Q21" i="2" l="1"/>
  <c r="Q22" i="2"/>
  <c r="T15" i="2"/>
  <c r="U15" i="2"/>
  <c r="P9" i="2"/>
  <c r="P19" i="2"/>
  <c r="C2" i="5"/>
  <c r="Q16" i="2"/>
  <c r="Q14" i="2"/>
  <c r="Q8" i="2"/>
  <c r="Q15" i="2"/>
  <c r="Q7" i="2"/>
  <c r="Q6" i="2"/>
  <c r="Q17" i="2"/>
  <c r="Q20" i="2"/>
  <c r="Q12" i="2"/>
  <c r="Q9" i="2"/>
  <c r="Q10" i="2"/>
  <c r="Q13" i="2"/>
  <c r="Q18" i="2"/>
  <c r="Q11" i="2"/>
  <c r="Q19" i="2"/>
  <c r="F1" i="2"/>
  <c r="P15" i="2" l="1"/>
  <c r="P10" i="2"/>
  <c r="P8" i="2"/>
  <c r="P6" i="2" l="1"/>
  <c r="P12" i="2" l="1"/>
  <c r="P21" i="2"/>
  <c r="P22" i="2"/>
  <c r="P7" i="2"/>
</calcChain>
</file>

<file path=xl/sharedStrings.xml><?xml version="1.0" encoding="utf-8"?>
<sst xmlns="http://schemas.openxmlformats.org/spreadsheetml/2006/main" count="289" uniqueCount="104">
  <si>
    <t>Estado general operación remolcadores:</t>
  </si>
  <si>
    <t>Tramo</t>
  </si>
  <si>
    <t>Operación</t>
  </si>
  <si>
    <t>Remolcadores</t>
  </si>
  <si>
    <t>Line Up</t>
  </si>
  <si>
    <t>Shuttle Up</t>
  </si>
  <si>
    <t>Shuttle Down</t>
  </si>
  <si>
    <t>Stand By</t>
  </si>
  <si>
    <t>Port Service</t>
  </si>
  <si>
    <t>Mantenimiento</t>
  </si>
  <si>
    <t>Fuera de servicio</t>
  </si>
  <si>
    <t>Total Remolcadores=&gt;</t>
  </si>
  <si>
    <t>Estado remolcadores:</t>
  </si>
  <si>
    <t>Km destino</t>
  </si>
  <si>
    <t>Remolcador</t>
  </si>
  <si>
    <t>Operación/Novedad</t>
  </si>
  <si>
    <t>Convoy</t>
  </si>
  <si>
    <t>Ubicación</t>
  </si>
  <si>
    <t>ETA</t>
  </si>
  <si>
    <t>Locación
Arribo</t>
  </si>
  <si>
    <t>Viaje</t>
  </si>
  <si>
    <t>Barranquilla</t>
  </si>
  <si>
    <t>Barrancabermeja</t>
  </si>
  <si>
    <t>Capulco</t>
  </si>
  <si>
    <t>ITBB</t>
  </si>
  <si>
    <t>Mompox</t>
  </si>
  <si>
    <t>Pto Berrio</t>
  </si>
  <si>
    <t>San Pablo</t>
  </si>
  <si>
    <t>Cantagallo</t>
  </si>
  <si>
    <t>Soledad</t>
  </si>
  <si>
    <t>Magdalena</t>
  </si>
  <si>
    <t>Banco</t>
  </si>
  <si>
    <t>Boya Ecopetrol</t>
  </si>
  <si>
    <t xml:space="preserve">Pto Triunfo </t>
  </si>
  <si>
    <t>Gamarra</t>
  </si>
  <si>
    <t>COFIBA</t>
  </si>
  <si>
    <t>Magangue</t>
  </si>
  <si>
    <t>Pto Salgar</t>
  </si>
  <si>
    <t>La Gloria</t>
  </si>
  <si>
    <t>Cavalier VIII</t>
  </si>
  <si>
    <t>Zambrano</t>
  </si>
  <si>
    <t>Calamar</t>
  </si>
  <si>
    <t>Fecha</t>
  </si>
  <si>
    <t>Estado</t>
  </si>
  <si>
    <t>Hora</t>
  </si>
  <si>
    <t>Sentido</t>
  </si>
  <si>
    <t>Km</t>
  </si>
  <si>
    <t>Rio</t>
  </si>
  <si>
    <t>Novedad</t>
  </si>
  <si>
    <t>Lugar</t>
  </si>
  <si>
    <t>Id_Date</t>
  </si>
  <si>
    <t>Date2</t>
  </si>
  <si>
    <t>.</t>
  </si>
  <si>
    <t>Up</t>
  </si>
  <si>
    <t>Rio Magdalena</t>
  </si>
  <si>
    <t>Down</t>
  </si>
  <si>
    <t>Canal del Dique</t>
  </si>
  <si>
    <t>Itbb</t>
  </si>
  <si>
    <t>Cofiba</t>
  </si>
  <si>
    <t>Abreviado</t>
  </si>
  <si>
    <t>RM</t>
  </si>
  <si>
    <t>Line Down</t>
  </si>
  <si>
    <t>CD</t>
  </si>
  <si>
    <t>Cartagena</t>
  </si>
  <si>
    <t>CTG</t>
  </si>
  <si>
    <t>Pto Triunfo</t>
  </si>
  <si>
    <t>Disponible</t>
  </si>
  <si>
    <t>Asistiendo operación</t>
  </si>
  <si>
    <t>Km 91-CD</t>
  </si>
  <si>
    <t>Maniobras de zarpe</t>
  </si>
  <si>
    <t>Km 592-RM</t>
  </si>
  <si>
    <t>Km 432-RM</t>
  </si>
  <si>
    <t>Km 505-RM</t>
  </si>
  <si>
    <t>Km 462-RM</t>
  </si>
  <si>
    <t>Maniobras de arribo</t>
  </si>
  <si>
    <t>Km 602-RM</t>
  </si>
  <si>
    <t>Km 501-RM</t>
  </si>
  <si>
    <t>Km 71-CD</t>
  </si>
  <si>
    <t>Ubicación Target Plan Navegación</t>
  </si>
  <si>
    <t>El Banco</t>
  </si>
  <si>
    <t>Navegando</t>
  </si>
  <si>
    <t>Mardique</t>
  </si>
  <si>
    <t>Target Km</t>
  </si>
  <si>
    <t>Target Rio</t>
  </si>
  <si>
    <t>Dif.Km</t>
  </si>
  <si>
    <t>Feeder CTG-BAQ</t>
  </si>
  <si>
    <t>Feeder BAQ-CTG</t>
  </si>
  <si>
    <t/>
  </si>
  <si>
    <t>San Pedrito</t>
  </si>
  <si>
    <t>Boya Puerto Bahia</t>
  </si>
  <si>
    <t>Suministro Combustible</t>
  </si>
  <si>
    <t>MGB 03 - TTK 66 - 19 (Vacías)</t>
  </si>
  <si>
    <t>VDEC879</t>
  </si>
  <si>
    <t>17/02/2022 PM</t>
  </si>
  <si>
    <t>17/02/2022 AM</t>
  </si>
  <si>
    <t>TTK 61-07-21 (Diesel)</t>
  </si>
  <si>
    <t>SU1264</t>
  </si>
  <si>
    <t>SU1265</t>
  </si>
  <si>
    <t>TTK 69-15-04 (Vacias)</t>
  </si>
  <si>
    <t>VDEC880</t>
  </si>
  <si>
    <t>18/02/2022 PM</t>
  </si>
  <si>
    <t>TTK 85 - 80 - 63 - 67 - MGB 12 (Crudo)</t>
  </si>
  <si>
    <t>Cierre canal por comunidad en el KM 30 CD</t>
  </si>
  <si>
    <t>18/02/2022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</si>
</sst>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:mm"/>
    <numFmt numFmtId="165" formatCode="dd\-mm\-yyyy\ hh:mm"/>
    <numFmt numFmtId="166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/>
    <xf numFmtId="22" fontId="0" fillId="0" borderId="0" xfId="0" applyNumberFormat="1"/>
    <xf numFmtId="22" fontId="1" fillId="0" borderId="0" xfId="0" applyNumberFormat="1" applyFont="1" applyAlignment="1">
      <alignment horizontal="center"/>
    </xf>
    <xf numFmtId="0" fontId="1" fillId="0" borderId="0" xfId="0" pivotButton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/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3" fillId="0" borderId="0" xfId="0" applyFont="1" applyFill="1"/>
    <xf numFmtId="22" fontId="3" fillId="0" borderId="0" xfId="0" applyNumberFormat="1" applyFont="1" applyFill="1"/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22" fontId="0" fillId="0" borderId="0" xfId="0" applyNumberForma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vertical="center"/>
    </xf>
    <xf numFmtId="0" fontId="0" fillId="0" borderId="0" xfId="0" applyFill="1"/>
    <xf numFmtId="22" fontId="0" fillId="0" borderId="0" xfId="0" applyNumberFormat="1" applyFill="1"/>
    <xf numFmtId="0" fontId="0" fillId="0" borderId="1" xfId="0" applyFill="1" applyBorder="1" applyAlignment="1">
      <alignment horizontal="center"/>
    </xf>
    <xf numFmtId="0" fontId="3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14" fontId="3" fillId="4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0" fillId="4" borderId="0" xfId="0" applyFill="1" applyAlignment="1">
      <alignment vertical="center"/>
    </xf>
    <xf numFmtId="22" fontId="0" fillId="4" borderId="0" xfId="0" applyNumberForma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3" fillId="4" borderId="1" xfId="0" applyNumberFormat="1" applyFont="1" applyFill="1" applyBorder="1" applyAlignment="1">
      <alignment vertical="center"/>
    </xf>
    <xf numFmtId="22" fontId="3" fillId="4" borderId="0" xfId="0" applyNumberFormat="1" applyFont="1" applyFill="1" applyAlignment="1">
      <alignment vertical="center"/>
    </xf>
    <xf numFmtId="0" fontId="0" fillId="0" borderId="0" xfId="0" applyAlignment="1">
      <alignment horizontal="center" vertical="center" wrapText="1"/>
    </xf>
    <xf numFmtId="14" fontId="0" fillId="0" borderId="1" xfId="0" applyNumberFormat="1" applyFill="1" applyBorder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14" fontId="3" fillId="0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166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NumberFormat="1" applyFill="1"/>
  </cellXfs>
  <cellStyles count="1">
    <cellStyle name="Normal" xfId="0" builtinId="0"/>
  </cellStyles>
  <dxfs count="3097"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70C0"/>
      </font>
    </dxf>
    <dxf>
      <font>
        <color auto="1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i/>
      </font>
    </dxf>
    <dxf>
      <font>
        <i val="0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70C0"/>
      </font>
    </dxf>
    <dxf>
      <font>
        <color auto="1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i/>
      </font>
    </dxf>
    <dxf>
      <font>
        <i val="0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70C0"/>
      </font>
    </dxf>
    <dxf>
      <font>
        <color auto="1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i/>
      </font>
    </dxf>
    <dxf>
      <font>
        <i val="0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70C0"/>
      </font>
    </dxf>
    <dxf>
      <font>
        <color auto="1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i/>
      </font>
    </dxf>
    <dxf>
      <font>
        <i val="0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i val="0"/>
      </font>
    </dxf>
    <dxf>
      <font>
        <i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auto="1"/>
      </font>
    </dxf>
    <dxf>
      <font>
        <color rgb="FF0070C0"/>
      </font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vertic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indent="0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indent="0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i val="0"/>
      </font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font>
        <b/>
        <i val="0"/>
        <color auto="1"/>
      </font>
      <fill>
        <patternFill patternType="solid">
          <fgColor theme="0"/>
          <bgColor theme="0" tint="-0.14996795556505021"/>
        </patternFill>
      </fill>
      <border>
        <vertical style="thin">
          <color theme="0" tint="-0.14996795556505021"/>
        </vertical>
      </border>
    </dxf>
    <dxf>
      <fill>
        <patternFill>
          <bgColor theme="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/>
          <bgColor theme="0" tint="-4.9989318521683403E-2"/>
        </patternFill>
      </fill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1"/>
      </font>
      <border>
        <top style="thin">
          <color theme="0" tint="-0.14996795556505021"/>
        </top>
        <bottom style="medium">
          <color theme="7" tint="-0.249977111117893"/>
        </bottom>
      </border>
    </dxf>
    <dxf>
      <font>
        <b/>
        <i val="0"/>
        <color theme="0"/>
      </font>
      <fill>
        <patternFill patternType="solid">
          <fgColor theme="7"/>
          <bgColor rgb="FF002060"/>
        </patternFill>
      </fill>
      <border>
        <top style="medium">
          <color theme="7" tint="-0.249977111117893"/>
        </top>
      </border>
    </dxf>
    <dxf>
      <font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34998626667073579"/>
        </vertical>
      </border>
    </dxf>
  </dxfs>
  <tableStyles count="1" defaultTableStyle="TableStyleMedium2" defaultPivotStyle="PivotStyleLight16">
    <tableStyle name="1" table="0" count="13">
      <tableStyleElement type="wholeTable" dxfId="3096"/>
      <tableStyleElement type="headerRow" dxfId="3095"/>
      <tableStyleElement type="totalRow" dxfId="3094"/>
      <tableStyleElement type="firstRowStripe" dxfId="3093"/>
      <tableStyleElement type="firstColumnStripe" dxfId="3092"/>
      <tableStyleElement type="firstSubtotalRow" dxfId="3091"/>
      <tableStyleElement type="secondSubtotalRow" dxfId="3090"/>
      <tableStyleElement type="thirdSubtotalRow" dxfId="3089"/>
      <tableStyleElement type="firstRowSubheading" dxfId="3088"/>
      <tableStyleElement type="secondRowSubheading" dxfId="3087"/>
      <tableStyleElement type="thirdRowSubheading" dxfId="3086"/>
      <tableStyleElement type="pageFieldLabels" dxfId="3085"/>
      <tableStyleElement type="pageFieldValues" dxfId="3084"/>
    </tableStyle>
  </tableStyles>
  <colors>
    <mruColors>
      <color rgb="FFFF66FF"/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[Estado flota3_ (Autoguardado).xlsm]TD!TablaDinámica1</c:name>
    <c:fmtId val="578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Estado general operación remolcadores:</a:t>
            </a:r>
          </a:p>
        </c:rich>
      </c:tx>
      <c:layout>
        <c:manualLayout>
          <c:xMode val="edge"/>
          <c:yMode val="edge"/>
          <c:x val="0.1296692359559842"/>
          <c:y val="2.6778099055518648E-2"/>
        </c:manualLayout>
      </c:layout>
      <c:overlay val="0"/>
    </c:title>
    <c:autoTitleDeleted val="0"/>
    <c:pivotFmts>
      <c:pivotFmt>
        <c:idx val="0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  <c:dLbl>
          <c:idx val="0"/>
          <c:layout>
            <c:manualLayout>
              <c:x val="-1.8085596233276701E-7"/>
              <c:y val="3.2520339082149706E-2"/>
            </c:manualLayout>
          </c:layout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dLbl>
          <c:idx val="0"/>
          <c:layout>
            <c:manualLayout>
              <c:x val="0"/>
              <c:y val="1.6260169541074853E-2"/>
            </c:manualLayout>
          </c:layout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layout>
            <c:manualLayout>
              <c:x val="2.2968707216261411E-3"/>
              <c:y val="-0.16260169541074854"/>
            </c:manualLayout>
          </c:layout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layout>
            <c:manualLayout>
              <c:x val="0"/>
              <c:y val="1.6260169541074853E-2"/>
            </c:manualLayout>
          </c:layout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1.6260169541074853E-2"/>
            </c:manualLayout>
          </c:layout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layout>
            <c:manualLayout>
              <c:x val="0"/>
              <c:y val="1.6260169541074853E-2"/>
            </c:manualLayout>
          </c:layout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</c:pivotFmt>
      <c:pivotFmt>
        <c:idx val="45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8838183204177775E-2"/>
          <c:y val="0.19999250635449056"/>
          <c:w val="0.94841315047389185"/>
          <c:h val="0.535130513440635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TD!$Q$6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TD!$P$7:$P$12</c:f>
              <c:strCache>
                <c:ptCount val="5"/>
                <c:pt idx="0">
                  <c:v>Shuttle Up</c:v>
                </c:pt>
                <c:pt idx="1">
                  <c:v>Line Down</c:v>
                </c:pt>
                <c:pt idx="2">
                  <c:v>Port Service</c:v>
                </c:pt>
                <c:pt idx="3">
                  <c:v>Mantenimiento</c:v>
                </c:pt>
                <c:pt idx="4">
                  <c:v>Fuera de servicio</c:v>
                </c:pt>
              </c:strCache>
            </c:strRef>
          </c:cat>
          <c:val>
            <c:numRef>
              <c:f>TD!$Q$7:$Q$12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04-4392-92E6-34FDAA472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014976"/>
        <c:axId val="362160128"/>
      </c:barChart>
      <c:catAx>
        <c:axId val="362014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CO"/>
          </a:p>
        </c:txPr>
        <c:crossAx val="362160128"/>
        <c:crosses val="autoZero"/>
        <c:auto val="1"/>
        <c:lblAlgn val="ctr"/>
        <c:lblOffset val="100"/>
        <c:noMultiLvlLbl val="0"/>
      </c:catAx>
      <c:valAx>
        <c:axId val="3621601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2014976"/>
        <c:crosses val="autoZero"/>
        <c:crossBetween val="between"/>
        <c:majorUnit val="1"/>
        <c:min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1046608</xdr:colOff>
      <xdr:row>4</xdr:row>
      <xdr:rowOff>166960</xdr:rowOff>
    </xdr:from>
    <xdr:to>
      <xdr:col>12</xdr:col>
      <xdr:colOff>326188</xdr:colOff>
      <xdr:row>16</xdr:row>
      <xdr:rowOff>186418</xdr:rowOff>
    </xdr:to>
    <xdr:graphicFrame macro="">
      <xdr:nvGraphicFramePr>
        <xdr:cNvPr id="5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1</xdr:row>
          <xdr:rowOff>0</xdr:rowOff>
        </xdr:from>
        <xdr:to>
          <xdr:col>6</xdr:col>
          <xdr:colOff>45720</xdr:colOff>
          <xdr:row>3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Barrios" refreshedDate="44616.841546875003" createdVersion="4" refreshedVersion="6" minRefreshableVersion="3" recordCount="17">
  <cacheSource type="worksheet">
    <worksheetSource ref="A5:U22" sheet="Actual"/>
  </cacheSource>
  <cacheFields count="21">
    <cacheField name="Remolcador" numFmtId="0">
      <sharedItems/>
    </cacheField>
    <cacheField name="Tramo" numFmtId="0">
      <sharedItems count="10">
        <s v="Port Service"/>
        <s v="Mantenimiento"/>
        <s v="Fuera de servicio"/>
        <s v="Line Down"/>
        <s v="Shuttle Up"/>
        <s v="" u="1"/>
        <s v="Fuera Servicio" u="1"/>
        <s v="Stand By" u="1"/>
        <s v="Shuttle Down" u="1"/>
        <s v="Line Up" u="1"/>
      </sharedItems>
    </cacheField>
    <cacheField name="Sentido" numFmtId="0">
      <sharedItems/>
    </cacheField>
    <cacheField name="ETA" numFmtId="0">
      <sharedItems/>
    </cacheField>
    <cacheField name="Km" numFmtId="0">
      <sharedItems containsMixedTypes="1" containsNumber="1" containsInteger="1" minValue="71" maxValue="602"/>
    </cacheField>
    <cacheField name="Rio" numFmtId="0">
      <sharedItems/>
    </cacheField>
    <cacheField name="Operación" numFmtId="0">
      <sharedItems count="572">
        <s v="Maniobras de zarpe"/>
        <s v="Mantenimiento"/>
        <s v="Fuera de servicio"/>
        <s v="Disponible"/>
        <s v="Suministro Combustible"/>
        <s v="Navegando"/>
        <s v="Maniobras de arribo"/>
        <s v="Asistiendo operación"/>
        <s v="" u="1"/>
        <s v="Asistiendo operaciones traliviano" u="1"/>
        <s v="Recibiendo Combustible del Zambrano" u="1"/>
        <s v="En manuiobras de retiro" u="1"/>
        <s v="Navegando de arete con el RR barranquilla" u="1"/>
        <s v="Evacuación SLOP" u="1"/>
        <s v="Operación limpiza TK lastre" u="1"/>
        <s v="Maniobras de ingreso a bahia CTG" u="1"/>
        <s v="Navegando Remolcado por el GLoria" u="1"/>
        <s v="Dispoonible" u="1"/>
        <s v="Ingresando bczs" u="1"/>
        <s v="Em maniobras ingreso de bczas" u="1"/>
        <s v="Recibiendo Combustible del RR barranquilla" u="1"/>
        <s v="Recepcion de combustible" u="1"/>
        <s v="Recepción de combustible" u="1"/>
        <s v="Asitiendo Operación" u="1"/>
        <s v="A  la espera del RR Calamar" u="1"/>
        <s v="Asistiendo Operación " u="1"/>
        <s v="En maniobras ingreso de set" u="1"/>
        <s v="Toma de Agua potable" u="1"/>
        <s v="Tomando Agua potable" u="1"/>
        <s v="Esperando al RR Puerto Salgar" u="1"/>
        <s v="Mantenimeinto" u="1"/>
        <s v="Descargando Slop" u="1"/>
        <s v="Navegando de arete con el RR Soledad" u="1"/>
        <s v="Navegando remolcado por el R Soledad" u="1"/>
        <s v="Maniobras zarpe" u="1"/>
        <s v="Recibo de Slop" u="1"/>
        <s v="Entrega de combustible al RR Barranquilla" u="1"/>
        <s v="Entregando combusitble al RR barranquilla" u="1"/>
        <s v="Entregando Combustible al RR Barranquilla" u="1"/>
        <s v="Maniobra arribo" u="1"/>
        <s v="Asignado a op" u="1"/>
        <s v="Asistiendo Operación Feeder" u="1"/>
        <s v="Espera de marea para ingreso de bczs" u="1"/>
        <s v="Maniobras de arribo " u="1"/>
        <s v="Navegando hacia ITBB" u="1"/>
        <s v="Averiado" u="1"/>
        <s v="Navegando hacia boya de Pto Bahia" u="1"/>
        <s v="Maniobras conformacion de set" u="1"/>
        <s v="Navegando de arete al RR Gloria" u="1"/>
        <s v="Acoplando al RR Puerto berrio y continua navegacion" u="1"/>
        <s v="En maniobras de conformación" u="1"/>
        <s v="Maniobras con barcaza" u="1"/>
        <s v="Maniobras de Arrico" u="1"/>
        <s v="Maniobras De retiro Magfuel" u="1"/>
        <s v="Esperando ventana" u="1"/>
        <s v="Armando convoy" u="1"/>
        <s v="Subiendo a Ecopetrol" u="1"/>
        <s v="En maniobras de Zarpe hacia el 110CD" u="1"/>
        <s v="Suministro de comsbutible" u="1"/>
        <s v="En maniobras de reiro de barcazas" u="1"/>
        <s v="Entregando Combustible al RR Soledad" u="1"/>
        <s v="En maniobrasn de Zarpe" u="1"/>
        <s v="Apoyo fraccionamiento RR Pto Salgar" u="1"/>
        <s v="Asisitiendo Cargue Magfuel #2" u="1"/>
        <s v="En mniobras con el ponton" u="1"/>
        <s v="Asistiendo operacion" u="1"/>
        <s v="En maniobras de zarpe" u="1"/>
        <s v="En manoibras de Zarpe" u="1"/>
        <s v="Navegando remolcado al RR Gamarra" u="1"/>
        <s v="A la espera del RR Barranquilla" u="1"/>
        <s v="Entregando combustible al RR Cantagallo" u="1"/>
        <s v="Recibiendo bczs al RR Gamarra" u="1"/>
        <s v="Custodiando bczs" u="1"/>
        <s v="Ingreso de SET" u="1"/>
        <s v="Intercambio de bczs con el RR Gloria" u="1"/>
        <s v="Maniobra de bajada" u="1"/>
        <s v="Custodia de barcazas / Disponible para maniobras" u="1"/>
        <s v="Navegando hacia el 110" u="1"/>
        <s v="Navegando de arete con RR Pto Berrio" u="1"/>
        <s v="Intercambiando bczs con el RR Cantagallo" u="1"/>
        <s v="Suministro de agua" u="1"/>
        <s v="Navegando hacia Contecar " u="1"/>
        <s v="Maniobras en zaona fleet " u="1"/>
        <s v="Fuera de servicio " u="1"/>
        <s v="Achique de barcazas" u="1"/>
        <s v="Asistiendo operación  " u="1"/>
        <s v="Maniobras con bcz" u="1"/>
        <s v="En intercabio de Barcazas con el RR Banco" u="1"/>
        <s v="Entrega de Combustible" u="1"/>
        <s v="Entregando Combustible" u="1"/>
        <s v="Maniobras inemrsion de dique" u="1"/>
        <s v="Entregando bcz al RR Banco" u="1"/>
        <s v="Entrega de combsutible al Pto Berrio" u="1"/>
        <s v="Maniobras de armado de convoy " u="1"/>
        <s v="Asistiendo operación Acesco" u="1"/>
        <s v="Entregando Combsutible al RR Calamar" u="1"/>
        <s v="Entregando provisiones al RR Calamar" u="1"/>
        <s v="Esperando RR Gamarra" u="1"/>
        <s v="Asiste operación " u="1"/>
        <s v="Entrega de barcazas" u="1"/>
        <s v="Entregando barcazas" u="1"/>
        <s v="Recibiendo Combustible por el RR Gloria" u="1"/>
        <s v="Maniobra de traslado" u="1"/>
        <s v="Mnaiobras" u="1"/>
        <s v="MAG 16-04 (Cont) TT 21(Vacia)" u="1"/>
        <s v="Esperando marea" u="1"/>
        <s v="Navegando remolcador por el RR Banco" u="1"/>
        <s v="Navegando hacia CTG" u="1"/>
        <s v="Intercambio de barcazas con RR San pablo" u="1"/>
        <s v="Intercambio de bczs con RR Banco" u="1"/>
        <s v="Toma Combustible" u="1"/>
        <s v="Asisitendo Operación" u="1"/>
        <s v="Asisitnedo operación" u="1"/>
        <s v="Custodia bcz" u="1"/>
        <s v="En maniobras de retiro de barcazas" u="1"/>
        <s v="Asistiendo operaciones" u="1"/>
        <s v="EN maniobras de armado" u="1"/>
        <s v="Asistiendo" u="1"/>
        <s v="Maniobras de ingreso a la bahia " u="1"/>
        <s v="En confromacion de convoy para su zarpe" u="1"/>
        <s v="Pruebas" u="1"/>
        <s v="Conformando convoy zarpe" u="1"/>
        <s v="En conformacion de convoy para zarpe" u="1"/>
        <s v="Asisitiendo operación" u="1"/>
        <s v="maniobras de recibo de barcazas" u="1"/>
        <s v="Remolcador Asistencia op." u="1"/>
        <s v="Maniobras conformación" u="1"/>
        <s v="Recibiendo combustible." u="1"/>
        <s v="Asegurado - Custodia de bacazas." u="1"/>
        <s v="Esperando marea para ingreso al canal" u="1"/>
        <s v="Asistiendo operación de cargue" u="1"/>
        <s v="Asistiendo operación Traliviano" u="1"/>
        <s v="Conformandode convoy" u="1"/>
        <s v="En intercambio de bcazas con el RR Pto Salgar" u="1"/>
        <s v="Navegando escotero hacial el KM 579 RM " u="1"/>
        <s v="Maniobras de zarpe a Ecopetrol" u="1"/>
        <s v="Maniobras de zarpe " u="1"/>
        <s v="Maniobras armado de convoy" u="1"/>
        <s v="Evacuando slop" u="1"/>
        <s v="En espera de marea" u="1"/>
        <s v="Inspección Zona Fleet" u="1"/>
        <s v="Recibiendo combustible" u="1"/>
        <s v="Asegurado" u="1"/>
        <s v="Satnd by" u="1"/>
        <s v="Asiste operación" u="1"/>
        <s v="Conformando set de ingreso" u="1"/>
        <s v="Asegurando" u="1"/>
        <s v="Retiro de residuos solidos - toma de insumos" u="1"/>
        <s v="Maniobras de fraccionamiento" u="1"/>
        <s v="Asiste operaciones" u="1"/>
        <s v="Recibiendo barcazas" u="1"/>
        <s v="Recibiendo Materiales" u="1"/>
        <s v="Asiste operación Contecar " u="1"/>
        <s v="En maniobras ingreso de bczas" u="1"/>
        <s v="Trasiego de combustible" u="1"/>
        <s v="Apoyo custodia de barcazas al RR Pto Berrio  " u="1"/>
        <s v="Custodia de baraczas" u="1"/>
        <s v="Maniobras de zarpe hacia SPRB" u="1"/>
        <s v="Apoyo fraccionamiento" u="1"/>
        <s v="Recibo de combustible" u="1"/>
        <s v="Apoyando el ingreso del RR Barrancabermeja" u="1"/>
        <s v="Asistiendo Op" u="1"/>
        <s v="Transferencia Combustible" u="1"/>
        <s v="Transfiriendo combustible" u="1"/>
        <s v="Maniobras apoyo Mtto" u="1"/>
        <s v="Navegando hacia  ITBB" u="1"/>
        <s v="Recibiendo Bczs del RR Cantagallo" u="1"/>
        <s v="Maniobras de achique" u="1"/>
        <s v="En maniobras de retiro de bczas " u="1"/>
        <s v="Recibidendo Combustible del RR Calamar" u="1"/>
        <s v="Trasiego de combustible al RR Magangue" u="1"/>
        <s v="Trasiego de Slop" u="1"/>
        <s v="Ingreso de bczs" u="1"/>
        <s v="Entregando barcazas " u="1"/>
        <s v="Recibiendo combustible del Barranquilla" u="1"/>
        <s v="Entregando combustible a barcazas" u="1"/>
        <s v="custodia Bczs" u="1"/>
        <s v="Maniobras de subida a ecopetrol" u="1"/>
        <s v="En Maniobras de Zarpe hacia Boya de Puerto Bahia" u="1"/>
        <s v="Navegando " u="1"/>
        <s v="Navegano acolplado al RR Magangue" u="1"/>
        <s v="En maniobras de trincado para zarpe" u="1"/>
        <s v="Navegando hacia Compas" u="1"/>
        <s v="suministrando combustible a bcz " u="1"/>
        <s v="Conformando convoy para zarpe" u="1"/>
        <s v="En maniobras de conformacion para zarpe" u="1"/>
        <s v="En maniobras de ocnformacion para zarpe" u="1"/>
        <s v="Cuastodia Bcz" u="1"/>
        <s v="A la espera de convoy" u="1"/>
        <s v="Maniobras  de arribo a cofiba " u="1"/>
        <s v="Entregando Combustible al RR Magangue" u="1"/>
        <s v="Custodia de Barcazas  " u="1"/>
        <s v="Dique" u="1"/>
        <s v="Asegurado (Pernocte)" u="1"/>
        <s v="Navegando ezscotero para apoyo del RR Gamarra" u="1"/>
        <s v="Navegando al encuentro con el Banco" u="1"/>
        <s v="Retiro de barcaza" u="1"/>
        <s v="Asisitiendo operación de cargue Butano" u="1"/>
        <s v="Pruebas de máquinas" u="1"/>
        <s v="Remolcado por el RR Gamarra" u="1"/>
        <s v="Apoyando reacondicinamiento" u="1"/>
        <s v="En manibras de zarpe hacia  110" u="1"/>
        <s v="Disponibloe" u="1"/>
        <s v="Armando convoy " u="1"/>
        <s v="Acoplando barcazas" u="1"/>
        <s v="Recibiendo agua potable" u="1"/>
        <s v="Sondaje" u="1"/>
        <s v="Asignado a ops" u="1"/>
        <s v="Armado de Convoy " u="1"/>
        <s v="Intercambiando" u="1"/>
        <s v="Custodia de barcazas " u="1"/>
        <s v="suminsitrand combustible al RR Gamarra" u="1"/>
        <s v="Disponible " u="1"/>
        <s v="Maniobra de retiro barcazas" u="1"/>
        <s v="Maniobras traslado barcazas" u="1"/>
        <s v="Maniobra de arribo" u="1"/>
        <s v="Intercambiando bcz con RR Barranquiilla" u="1"/>
        <s v="Asistiendo operación de Midland" u="1"/>
        <s v="Maniobras de retiro de Bczas" u="1"/>
        <s v="Suministro de combustible" u="1"/>
        <s v="Maniobras con barcazas" u="1"/>
        <s v="En maniobras  de ingreso de SET" u="1"/>
        <s v="Sin tripulación" u="1"/>
        <s v="Remolcado por el RR Banco" u="1"/>
        <s v="Maniobras de conformacion convoy" u="1"/>
        <s v="Transferencia combustible al RR Barranquilla" u="1"/>
        <s v="Cusotida de Barcazas" u="1"/>
        <s v="Recibeindo Combuistible del RR Gloria" u="1"/>
        <s v="Intercambiando Bcz" u="1"/>
        <s v="Maniobras muelle SP Gloria" u="1"/>
        <s v="Maniobras de ingreso a CTG" u="1"/>
        <s v="Traslado de Barcazas" u="1"/>
        <s v="Maniobras  atraque" u="1"/>
        <s v="Achique bcz" u="1"/>
        <s v="Recibiendo bczs del RR Barranacabermeja" u="1"/>
        <s v="Prueba Lancha de Apoyo" u="1"/>
        <s v="Asistiendo Operación (RR Asistente)" u="1"/>
        <s v="Traslado de bczs" u="1"/>
        <s v="Achique de bczs" u="1"/>
        <s v="Custodia de bcz" u="1"/>
        <s v="Recibiendo Comb. del RR Salgar" u="1"/>
        <s v="Asisitiendo operación " u="1"/>
        <s v="Esperando la MGT 01 (vacia)" u="1"/>
        <s v="navegando de arete con RR Soledad" u="1"/>
        <s v="Navegando Escotero al encuentro con el Magangue" u="1"/>
        <s v="Fraccionamiento" u="1"/>
        <s v="Maniobras de desvare RR Capulco" u="1"/>
        <s v="Intercambiando de barcazas" u="1"/>
        <s v="Navegando remolcado por el RR Soledad" u="1"/>
        <s v="A la espera del RR Magangue" u="1"/>
        <s v="Intercambio de barczas " u="1"/>
        <s v="Maniobras de zarpe hacia Boya" u="1"/>
        <s v="Etregando combustible al RR Slagar" u="1"/>
        <s v="Remolcador por el RR Magangue" u="1"/>
        <s v="Aproximandose a terminal" u="1"/>
        <s v="Recibiendo aceite" u="1"/>
        <s v="Maniobras  con barcazas" u="1"/>
        <s v="En maniobras de Fraccionamiento para ingreso a bahia" u="1"/>
        <s v="Disponible para maniobras " u="1"/>
        <s v="Intercambio de barcazas con RR Gamarra" u="1"/>
        <s v="Entregando comb. Al Magangue" u="1"/>
        <s v="Intercambio de bczs" u="1"/>
        <s v="Asisitiendo Cargue MAgFuel" u="1"/>
        <s v="Suministro de combustible a barcazas" u="1"/>
        <s v="Fraccionamiento " u="1"/>
        <s v="Maniobra" u="1"/>
        <s v="Suministrando combustible a bczs" u="1"/>
        <s v="Suministro de combustible a bczs" u="1"/>
        <s v="Entregando bczs al RR Pto Triunfo" u="1"/>
        <s v="En intercambio de barcazas" u="1"/>
        <s v="Asisitiendo operación Tuberias" u="1"/>
        <s v="Remolcador por el RR Banco" u="1"/>
        <s v="Matenimiento" u="1"/>
        <s v="Arribando" u="1"/>
        <s v="Maniobra retiro" u="1"/>
        <s v="Entregando bczs al RR Magangue" u="1"/>
        <s v="Esperando al RR Capulco" u="1"/>
        <s v="Maniobras de retiro muelle 2.1" u="1"/>
        <s v="Pruebas de maquinas" u="1"/>
        <s v="Novedad" u="1"/>
        <s v="Recibiendo combustible del RR Puerto Salgar" u="1"/>
        <s v="Navegando hacia Pimsa" u="1"/>
        <s v="Navegando remolcado por el RR Gloria" u="1"/>
        <s v="Navegando acoplado al convoy del RR Gamarra" u="1"/>
        <s v="Esperando Ventana SPRB" u="1"/>
        <s v="Esperando Vnetana SPRB" u="1"/>
        <s v="Intercambio de bczs con el RR Mompox" u="1"/>
        <s v="Intercambiando barcazas" u="1"/>
        <s v="Intercambio de barcazas" u="1"/>
        <s v="custodia de bczs " u="1"/>
        <s v="En Intercambio de bcazas con el RR Banco" u="1"/>
        <s v="Maniobras de Conformacion" u="1"/>
        <s v="Maniobras " u="1"/>
        <s v="En amniobras de arribo" u="1"/>
        <s v="Tomando agua" u="1"/>
        <s v="En maniobras de conformacion de ocnvoy" u="1"/>
        <s v="Maniobras Conformacion Convoy" u="1"/>
        <s v="Conformacion de convoy Zarpe " u="1"/>
        <s v="Maniobras de Ingreso set" u="1"/>
        <s v="Apoyo maniobras al RR Gloria" u="1"/>
        <s v="Asignado a la Operación en Compas (Trigo)" u="1"/>
        <s v="Conformacion de convoy para ingreso" u="1"/>
        <s v="Asistiendo Cargue" u="1"/>
        <s v="Maniobras de apoyo" u="1"/>
        <s v="Maniobra de zarpe escotero" u="1"/>
        <s v="Apoyo ingreso bczs" u="1"/>
        <s v="Maniobra ingreso muelle" u="1"/>
        <s v="Navegando hacia Cartagena" u="1"/>
        <s v="En Trasiego de Combustible" u="1"/>
        <s v="De arete con el R Pto Salgar" u="1"/>
        <s v="En espera de tripulación" u="1"/>
        <s v="Evacuacion  de residuo solidos " u="1"/>
        <s v="Cambio de tripulación" u="1"/>
        <s v="Navegando remolcado por el RR Cantagallo " u="1"/>
        <s v="Conformando convoy de zarpe" u="1"/>
        <s v="Maniobra de zarpe hacia Contecar " u="1"/>
        <s v="Entregando Combustible a la Gloria" u="1"/>
        <s v="Navegando  escotero " u="1"/>
        <s v="Navegando Hacia Contecar" u="1"/>
        <s v="Navegando remolcado por RR Salgar" u="1"/>
        <s v="Fuera de servicio // Custodia barcazas " u="1"/>
        <s v="Apoyo a maniobras" u="1"/>
        <s v="Navegando hacia Tarapaca" u="1"/>
        <s v="En conformacion de convoy" u="1"/>
        <s v="Maniobras de ingreso de Baczas M2" u="1"/>
        <s v="En manibras zarpe con la Magfuel 2 hacia Ecopetrol" u="1"/>
        <s v="Maniobras conformación de SET" u="1"/>
        <s v="Disponnible" u="1"/>
        <s v="Trasladando Magfuel" u="1"/>
        <s v="Maniobras de desacople" u="1"/>
        <s v="Asistiendo operación MN MARIA V" u="1"/>
        <s v="Navegando remolcado por RR Banco" u="1"/>
        <s v="Maniobras arribo" u="1"/>
        <s v="Recibiendo Combustible del Magangue" u="1"/>
        <s v="Asiste ops" u="1"/>
        <s v="Maniobras de arribo a  CTG" u="1"/>
        <s v="Custodia de barcazas" u="1"/>
        <s v="Custodiando Barcazas" u="1"/>
        <s v="Custoida de barcazas" u="1"/>
        <s v="Maniobra de zarpe" u="1"/>
        <s v="Maniobras de desvare" u="1"/>
        <s v="Entregando bczs al RR Salgar" u="1"/>
        <s v="Transferencia Combustible RR Soledad" u="1"/>
        <s v="Maniobras de ingreso hacia Boya de Pto Bahia" u="1"/>
        <s v="En maniobras de Zarpe d" u="1"/>
        <s v="Asiste operación tramedio" u="1"/>
        <s v="A la espera del RR Soledad" u="1"/>
        <s v="En maniobras de reitro de baczas" u="1"/>
        <s v="En manioibras de ingreso" u="1"/>
        <s v="En intercambio de Barcazas con el RR Banco" u="1"/>
        <s v="Descargue de basura - Toma de agua - Combustible" u="1"/>
        <s v="Conexión trasiego combustible" u="1"/>
        <s v="Maniobras de ingreso de Baczas M1" u="1"/>
        <s v="Ingresando set PB" u="1"/>
        <s v="Asgurado" u="1"/>
        <s v="Asistiendo operación SPRB" u="1"/>
        <s v="Transfiriendo combustible al salgar" u="1"/>
        <s v="Apoyo atraque en Conecar" u="1"/>
        <s v="Custrodia de bczs" u="1"/>
        <s v="EN maniobras de intercambio de bczs" u="1"/>
        <s v="En maniobras retiro de bczas" u="1"/>
        <s v="Asisitiendo operación cargue" u="1"/>
        <s v="Asegurado - Conformando convoy" u="1"/>
        <s v="Remolcado por el RR Calamar " u="1"/>
        <s v="Custodia de barcazas a ala espera del RR Gloria" u="1"/>
        <s v="Asistiendo operación Midland" u="1"/>
        <s v="En maniobra de Arribo" u="1"/>
        <s v="Maniobras  " u="1"/>
        <s v="Custodia" u="1"/>
        <s v="Maniobras de Achique bcz" u="1"/>
        <s v="Asitiendo cargue Magfuel " u="1"/>
        <s v="Maniobras de Salida" u="1"/>
        <s v="Intercambio de bcz con RR Magangue" u="1"/>
        <s v="Traslado hacia Isla Rondon" u="1"/>
        <s v="Asisitiendo operación Traliviano" u="1"/>
        <s v="Finalizando Recepcion de provisiones para zarpe" u="1"/>
        <s v="En maniobras  " u="1"/>
        <s v="Ingresando a Bahia" u="1"/>
        <s v="A la espera del RR Barrancabermeja" u="1"/>
        <s v="Remoclado por el RR Triunfo" u="1"/>
        <s v="Remolcado por el RR Triunfo" u="1"/>
        <s v="Navegando remolcado por el RR Banco" u="1"/>
        <s v="Apoyo maniobra" u="1"/>
        <s v="Desacople" u="1"/>
        <s v="Maniobras de desembalse" u="1"/>
        <s v="Asistiendo op MAG 39" u="1"/>
        <s v="Trasegando combustible al RR Pto berrio " u="1"/>
        <s v="Recibiendo bczs del RR Pto Triunfo" u="1"/>
        <s v="Navegando Remolcado por el R-Capulco" u="1"/>
        <s v="Remolcado por R Barranquilla" u="1"/>
        <s v="Maniobra retiro de set" u="1"/>
        <s v="Maniobras de intercambio de bczs" u="1"/>
        <s v="Recibiendo combustible del RR Barrancabermeja" u="1"/>
        <s v="Custodia de bczs" u="1"/>
        <s v="custoida de bczs" u="1"/>
        <s v="Asiste ops " u="1"/>
        <s v="Maniobras   " u="1"/>
        <s v="Custodia Barcazas" u="1"/>
        <s v="Maniobras de ingreso con bczs" u="1"/>
        <s v="Maniobras de ingreso bczas M1" u="1"/>
        <s v="Conformacion de Convoy zarpe" u="1"/>
        <s v="En maniobras " u="1"/>
        <s v="custodiando y asistiendo operación" u="1"/>
        <s v="Transito a muelle SPRB" u="1"/>
        <s v="Maniobras de ingreso y retiro de barczas" u="1"/>
        <s v="Asisitiendo Operaciones" u="1"/>
        <s v="Dsiponible" u="1"/>
        <s v="Custodia de barcaza" u="1"/>
        <s v="Navegando hacia el KM 492 RM" u="1"/>
        <s v="Remolcado por el RR Cantagallo" u="1"/>
        <s v="Transfiriendo combustible al RR Zambrano" u="1"/>
        <s v="En maniobras de ingreso a muelle 1" u="1"/>
        <s v="En manobras de conformacion de convoy" u="1"/>
        <s v="Toma De combsutible" u="1"/>
        <s v="Transferencia de combustible" u="1"/>
        <s v="Tranfieriendo slop al RR Mompox" u="1"/>
        <s v="Maniobras de ingreso a bahía" u="1"/>
        <s v="Navegando acoplado al RR Barrancabermeja" u="1"/>
        <s v="Toma de combustibble" u="1"/>
        <s v="asiste operacio" u="1"/>
        <s v="En maniobras  de salida de SET" u="1"/>
        <s v="Maniobras intercambio de bczs" u="1"/>
        <s v="En maniobras" u="1"/>
        <s v="Maniobras para zarpe " u="1"/>
        <s v="En maniobras de ingreso" u="1"/>
        <s v="En maniobras de Conformacion" u="1"/>
        <s v="En maniobras de ocnformacion" u="1"/>
        <s v="En  maniobras de retiro de Set " u="1"/>
        <s v="En maniobras ( Muelle 1)" u="1"/>
        <s v="Prueba de maquinas" u="1"/>
        <s v="Maniobras ingreso" u="1"/>
        <s v="Remolcado por el RR Magangue" u="1"/>
        <s v="Pasando tripulacion" u="1"/>
        <s v="acoplado al convoy del RR Pto Salgar" u="1"/>
        <s v="Armado de Convoy" u="1"/>
        <s v="Asegurado " u="1"/>
        <s v="En maiobras" u="1"/>
        <s v="Achique de bcz" u="1"/>
        <s v="Apoyo maniobras de desvare RR Berrio" u="1"/>
        <s v="Apoyo conformacion de convoy" u="1"/>
        <s v="Conformacion de set de ingreso " u="1"/>
        <s v="Navegado escotero" u="1"/>
        <s v="Toma de agua" u="1"/>
        <s v="Intercambio de bcz con RR Gamarra" u="1"/>
        <s v="Conformacion de barcazas" u="1"/>
        <s v="Conformando Convoy" u="1"/>
        <s v="Remolcador por el R Banco" u="1"/>
        <s v="Apoyando maniobras" u="1"/>
        <s v="Intercambio de bczs con RR Puerto Salgar" u="1"/>
        <s v="Evacuación de SLOP" u="1"/>
        <s v="Maniobras de armado de convoy" u="1"/>
        <s v="Maniorbas de armado de convoy" u="1"/>
        <s v="Maniobras conformacion" u="1"/>
        <s v="Maniobras de  Arribo" u="1"/>
        <s v="Remolcado por el RR Magangué" u="1"/>
        <s v="Navegando remolcado por el RR Calamar" u="1"/>
        <s v="Navegando escotero para tomar bczs del Barranquilla" u="1"/>
        <s v="Maniobras conformación de convoy" u="1"/>
        <s v="Navegando hacia KM 432 RM" u="1"/>
        <s v="Maniobras de apoyo RR Psalgar" u="1"/>
        <s v="Custodia de bcazas " u="1"/>
        <s v="A espera del RR Soledad" u="1"/>
        <s v="Remolcado por R Banco" u="1"/>
        <s v="Esperando al RR Gamarra" u="1"/>
        <s v="Astiendo operación tramedio " u="1"/>
        <s v="Asistiendo trasiego" u="1"/>
        <s v="Maniobra de ingreeso" u="1"/>
        <s v="Asisitiendo operación Tramedio" u="1"/>
        <s v="Toma de combustible " u="1"/>
        <s v="Tomando combustible " u="1"/>
        <s v="Asistiendo Operación cargue" u="1"/>
        <s v="Entregando combustible al RR Barrancabermeja" u="1"/>
        <s v="Maniobra de retiro" u="1"/>
        <s v="Transfiriendo combustible al Zambrano" u="1"/>
        <s v="Navegando de arete con el R-Calamar " u="1"/>
        <s v="Entregando combustible al R Cantagallo" u="1"/>
        <s v="Suminitrando combustible al RR barrancabermeja" u="1"/>
        <s v="Intercambio de convoy" u="1"/>
        <s v="Disponi" u="1"/>
        <s v="Zarpe escotero" u="1"/>
        <s v="Recibiendo Tripulacion" u="1"/>
        <s v="Disponible para maniobras" u="1"/>
        <s v="En custodia de bczas" u="1"/>
        <s v="En maniobras de zarpe hacia Contecar" u="1"/>
        <s v="Recibiendo de combustible e intercambio de cz con el Puerto Berrio" u="1"/>
        <s v="Maniobras de ingreso de bczas M1" u="1"/>
        <s v="Esperando" u="1"/>
        <s v="Ingresando a Bahía" u="1"/>
        <s v="En maniobras de Arribo" u="1"/>
        <s v="Conformacion de Convoy para zarpe" u="1"/>
        <s v="Inspección" u="1"/>
        <s v="Toma De combustible" u="1"/>
        <s v="Tomando Combustible" u="1"/>
        <s v="Asistiendo Operación Traliviano - Tragas" u="1"/>
        <s v="Apoyando Zarpe Banco" u="1"/>
        <s v="En maniobras (Muelle 1)" u="1"/>
        <s v="Navegando hacia Cofiba" u="1"/>
        <s v="Maniobras Intercambio de Barcazas" u="1"/>
        <s v="Asistiendo operación cargue Magfuel" u="1"/>
        <s v="Remolcado por el R Banco" u="1"/>
        <s v="Inspeccion Mintransporte" u="1"/>
        <s v="Cambio de Aceite" u="1"/>
        <s v="Conformacion de Convoy" u="1"/>
        <s v="Conformación de convoy" u="1"/>
        <s v="Entregando Comnbustible al R Capulco" u="1"/>
        <s v="Assitiendo operaciones" u="1"/>
        <s v="Recibiendo combsutible del Pto Triunfo" u="1"/>
        <s v="Instalacion de equipo" u="1"/>
        <s v="Instalación de equipo" u="1"/>
        <s v="Acondicionamiento de convoy" u="1"/>
        <s v="Armando Set" u="1"/>
        <s v="En maniobras de atraque" u="1"/>
        <s v="Maniobras apoyo al RR Banco " u="1"/>
        <s v="En maniobras de retiro" u="1"/>
        <s v="Transferencia de Comsbutible" u="1"/>
        <s v="Trasiego de combustible al RR Tirunfo" u="1"/>
        <s v="Maniobras de acople" u="1"/>
        <s v="Esperando RR Gloria" u="1"/>
        <s v="En Maniobras de zarpe hacia COFIBA" u="1"/>
        <s v="Esperando bczs" u="1"/>
        <s v="Remolcado por R Barrancabermeja" u="1"/>
        <s v="Toma de combustible." u="1"/>
        <s v="Custodia de barczas / Asiste cargue Magfuel" u="1"/>
        <s v="Navegando Remolcado " u="1"/>
        <s v="En Dique" u="1"/>
        <s v="Asisitiendo operación Midland" u="1"/>
        <s v="Remolcado a" u="1"/>
        <s v="Recibiendo Combustible del R Banco" u="1"/>
        <s v="Entregando Combsutible al RR Banco" u="1"/>
        <s v="Asistiendo operación aligeramiento " u="1"/>
        <s v="En maniobras de arribo con la bcza TT 07 (vacia)" u="1"/>
        <s v="Cutodia de bczs" u="1"/>
        <s v="Apoyo maniobras de taraque bczs feeder" u="1"/>
        <s v="Maniobras de intercambio" u="1"/>
        <s v="Recibiendo Combustible del RR mompox" u="1"/>
        <s v="Suministro de Agua " u="1"/>
        <s v="Maniobras de ingreso de bcz." u="1"/>
        <s v="Apoyando zarpe" u="1"/>
        <s v="En manibras arribo  a SPD" u="1"/>
        <s v="Recibiendo Slop el RR Banco" u="1"/>
        <s v="Maniobras de retiro" u="1"/>
        <s v="Maniobras conformación convoy" u="1"/>
        <s v="Amniobras de Arribo" u="1"/>
        <s v="Disponible para Mantenimiento" u="1"/>
        <s v="Navegando escotero para apoyo del RR Gamarra" u="1"/>
        <s v="Esperando operación Acesco" u="1"/>
        <s v="Entrega de combustible e intercambio de cz con el Puerto Berrio" u="1"/>
        <s v="Suministro de comsbutible barcazas" u="1"/>
        <s v="En maniobras ubicación de bczs" u="1"/>
        <s v="En pruebas " u="1"/>
        <s v="Navegando Remolcado por el RR Gloria " u="1"/>
        <s v="A la espera de barcazas" u="1"/>
        <s v="Asisitiendo cargue de la Magfuel" u="1"/>
        <s v="En intercambio de bcazas con el RR Pto Triunfo" u="1"/>
        <s v="Fraccionando" u="1"/>
        <s v="Apoyo al RR Gloria" u="1"/>
        <s v="Asistiendo Operación Tramedio" u="1"/>
        <s v="En Maniobras de Conformacion de convoy" u="1"/>
        <s v="Maniobras de Atraque" u="1"/>
        <s v="Maniobras devare" u="1"/>
        <s v="Trasiego de aceite" u="1"/>
        <s v="Custodia de barczas " u="1"/>
        <s v="Maniobras" u="1"/>
        <s v="Navegando escotero" u="1"/>
        <s v="Navegando remolcado" u="1"/>
        <s v="Maniobras de retiro de barczas " u="1"/>
        <s v="Manobras de retiro" u="1"/>
        <s v="Tomando combustibl e" u="1"/>
        <s v="En maniobras de retiro/ ingreso" u="1"/>
        <s v="Maniobras conformación SET" u="1"/>
        <s v="Maniobras de ingreso" u="1"/>
        <s v="Manteniminento" u="1"/>
      </sharedItems>
    </cacheField>
    <cacheField name="Convoy" numFmtId="0">
      <sharedItems/>
    </cacheField>
    <cacheField name="Novedad" numFmtId="0">
      <sharedItems/>
    </cacheField>
    <cacheField name="Target Km" numFmtId="0">
      <sharedItems containsMixedTypes="1" containsNumber="1" containsInteger="1" minValue="91" maxValue="592"/>
    </cacheField>
    <cacheField name="Target Rio" numFmtId="0">
      <sharedItems/>
    </cacheField>
    <cacheField name="Lugar" numFmtId="0">
      <sharedItems/>
    </cacheField>
    <cacheField name="Viaje" numFmtId="0">
      <sharedItems/>
    </cacheField>
    <cacheField name="Ubicación" numFmtId="0">
      <sharedItems/>
    </cacheField>
    <cacheField name="Ubicación Target Plan Navegación" numFmtId="0">
      <sharedItems/>
    </cacheField>
    <cacheField name="Km destino" numFmtId="0">
      <sharedItems containsSemiMixedTypes="0" containsString="0" containsNumber="1" containsInteger="1" minValue="0" maxValue="492"/>
    </cacheField>
    <cacheField name="Id_Date" numFmtId="22">
      <sharedItems containsSemiMixedTypes="0" containsNonDate="0" containsDate="1" containsString="0" minDate="2022-02-24T18:00:00" maxDate="2022-02-24T18:00:00"/>
    </cacheField>
    <cacheField name="Date2" numFmtId="22">
      <sharedItems containsSemiMixedTypes="0" containsNonDate="0" containsDate="1" containsString="0" minDate="2022-02-24T20:11:50" maxDate="2022-02-24T20:11:50"/>
    </cacheField>
    <cacheField name="." numFmtId="0">
      <sharedItems containsNonDate="0" containsString="0" containsBlank="1"/>
    </cacheField>
    <cacheField name="Dif.Km" numFmtId="0">
      <sharedItems containsMixedTypes="1" containsNumber="1" containsInteger="1" minValue="-20" maxValue="39"/>
    </cacheField>
    <cacheField name=".2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Barrios" refreshedDate="44616.871613888892" createdVersion="6" refreshedVersion="6" minRefreshableVersion="3" recordCount="17">
  <cacheSource type="worksheet">
    <worksheetSource ref="A5:U22" sheet="Actual"/>
  </cacheSource>
  <cacheFields count="21">
    <cacheField name="Remolcador" numFmtId="0">
      <sharedItems containsBlank="1" count="19">
        <s v="Barrancabermeja"/>
        <s v="Soledad"/>
        <s v="Zambrano"/>
        <s v="Mompox"/>
        <s v="Cantagallo"/>
        <s v="Magangue"/>
        <s v="Gamarra"/>
        <s v="San Pablo"/>
        <s v="Calamar"/>
        <s v="Pto Salgar"/>
        <s v="Pto Triunfo "/>
        <s v="Capulco"/>
        <s v="Cavalier VIII"/>
        <s v="Barranquilla"/>
        <s v="Pto Berrio"/>
        <s v="La Gloria"/>
        <s v="El Banco"/>
        <s v="" u="1"/>
        <m u="1"/>
      </sharedItems>
    </cacheField>
    <cacheField name="Tramo" numFmtId="0">
      <sharedItems count="10">
        <s v="Port Service"/>
        <s v="Mantenimiento"/>
        <s v="Fuera de servicio"/>
        <s v="Line Down"/>
        <s v="Shuttle Up"/>
        <s v="" u="1"/>
        <s v="Fuera Servicio" u="1"/>
        <s v="Stand By" u="1"/>
        <s v="Shuttle Down" u="1"/>
        <s v="Line Up" u="1"/>
      </sharedItems>
    </cacheField>
    <cacheField name="Sentido" numFmtId="0">
      <sharedItems/>
    </cacheField>
    <cacheField name="ETA" numFmtId="0">
      <sharedItems containsDate="1" containsBlank="1" containsMixedTypes="1" minDate="2021-04-05T00:00:00" maxDate="2022-01-11T00:00:00" count="697">
        <s v=""/>
        <s v="17/02/2022 AM"/>
        <s v="18/02/2022 PM"/>
        <s v="17/02/2022 PM"/>
        <s v="18/02/2022 AM"/>
        <m u="1"/>
        <s v="14/02/2022 PM" u="1"/>
        <s v="22/01/2022 PM" u="1"/>
        <s v="10/01/2022 PM" u="1"/>
        <s v="06/10/2021 PM" u="1"/>
        <s v="10/02/2022 PM" u="1"/>
        <s v="18/11/2021 PM" u="1"/>
        <s v="30/01/2022 PM" u="1"/>
        <s v="06/11/2021 PM" u="1"/>
        <s v="26/10/2021 PM" u="1"/>
        <s v="14/10/2021 PM" u="1"/>
        <s v="02/10/2021 PM" u="1"/>
        <s v="28/04PM" u="1"/>
        <s v="28/12PM" u="1"/>
        <s v="24/11PM" u="1"/>
        <s v="Pte Plan " u="1"/>
        <s v="18/04/2021 PM" u="1"/>
        <s v="06/04/2021 Pm" u="1"/>
        <s v="18/12/2021 PM" u="1"/>
        <s v="06/12/2021 PM" u="1"/>
        <s v="26/11/2021 PM" u="1"/>
        <s v="14/11/2021 PM" u="1"/>
        <s v="27/04 AM" u="1"/>
        <s v="02/11/2021 PM" u="1"/>
        <s v="22/10/2021 PM" u="1"/>
        <s v="15/10 PM" u="1"/>
        <s v="03/05 AM " u="1"/>
        <s v="10/10/2021 PM" u="1"/>
        <s v="25/10/21/ AM" u="1"/>
        <s v="16/05PM" u="1"/>
        <s v="Pte Plan" u="1"/>
        <s v="02/04/2021 pm" u="1"/>
        <s v="26/12/2021 Pm" u="1"/>
        <s v="02/12/2021 PM" u="1"/>
        <s v="22/11/2021 PM" u="1"/>
        <s v="10/11/2021 PM" u="1"/>
        <s v="30/10/2021 PM" u="1"/>
        <s v="03/05 AM" u="1"/>
        <s v="23/04 AM" u="1"/>
        <s v="08/07PM" u="1"/>
        <s v="04/06PM" u="1"/>
        <s v="24/05PM" u="1"/>
        <s v="20/04PM" u="1"/>
        <s v="05/02/2022 04:17hrs" u="1"/>
        <s v="18/06/2021 Pm" u="1"/>
        <s v="03/05 PM " u="1"/>
        <s v="30/03/2021 Pm" u="1"/>
        <s v="15/07 AM " u="1"/>
        <s v="22/12/2021 PM" u="1"/>
        <s v="10/12/2021 PM" u="1"/>
        <s v="18/01/2022 AM" u="1"/>
        <s v="30/11/2021 PM" u="1"/>
        <s v="06/01/2022 AM" u="1"/>
        <s v="28/07PM" u="1"/>
        <s v="24/06PM" u="1"/>
        <s v="16/04/21 Am" u="1"/>
        <s v="17/04/21 Pm" u="1"/>
        <s v="14/06/2021 pm" u="1"/>
        <s v="27/05 PM" u="1"/>
        <s v="02/06/2021 Pm" u="1"/>
        <s v="10/05/2021 PM" u="1"/>
        <s v="03/05 PM" u="1"/>
        <s v="23/04 PM" u="1"/>
        <s v="11/04 PM" u="1"/>
        <s v="15/07 AM" u="1"/>
        <s v="20/10/21 AM" u="1"/>
        <s v="30/12/2021 Pm" u="1"/>
        <s v="03/07 AM" u="1"/>
        <s v="21/10/21 PM" u="1"/>
        <s v="06/02/2022 Am" u="1"/>
        <s v="26/01/2022 AM" u="1"/>
        <s v="20/06PM" u="1"/>
        <s v="09/06/21 Pm" u="1"/>
        <s v="29/05/21 PM" u="1"/>
        <s v="06/08/2021 PM" u="1"/>
        <s v="30/05/2021 Pm" u="1"/>
        <s v="03/06 PM" u="1"/>
        <s v="14/02/2022 AM" u="1"/>
        <s v="02/02/2022 AM" u="1"/>
        <s v="24/08PM" u="1"/>
        <s v="12/08PM" u="1"/>
        <s v="20/07PM" u="1"/>
        <s v="18/09/2021 PM" u="1"/>
        <s v="12/01/2022 13:00hrs" u="1"/>
        <s v="17/06/21 Pm" u="1"/>
        <d v="2022-01-10T00:00:00" u="1"/>
        <s v="15/07 PM" u="1"/>
        <s v="13/05/21 Pm" u="1"/>
        <s v="13/11/201 PM" u="1"/>
        <s v="03/07 PM" u="1"/>
        <s v="18/03/2021 AM" u="1"/>
        <s v="18/11/2021 AM" u="1"/>
        <s v="30/01/2022 AM" u="1"/>
        <s v="24/03/2021  PM" u="1"/>
        <s v="06/11/2021 am" u="1"/>
        <s v="14/10/2021 AM" u="1"/>
        <s v="Pdte plan" u="1"/>
        <s v="08/08/21 AM" u="1"/>
        <s v="28/07/21 AM" u="1"/>
        <s v="29/07/21 Pm" u="1"/>
        <s v="26/09/2021 PM" u="1"/>
        <s v="05/07/21 Pm" u="1"/>
        <s v="25/06/21 Pm" u="1"/>
        <s v="02/09/2021 PM" u="1"/>
        <s v="30/07/2021 Pm" u="1"/>
        <s v="06/04/2021 Am" u="1"/>
        <s v="06/12/2021 AM" u="1"/>
        <s v="14/11/2021 AM" u="1"/>
        <s v="02/11/2021 AM" u="1"/>
        <s v="18/04AM" u="1"/>
        <s v="08/09/21 AM" u="1"/>
        <s v="28/08/21 AM" u="1"/>
        <s v="16/08/21 AM" u="1"/>
        <s v="29/08/21 PM" u="1"/>
        <s v="17/08/21 Pm" u="1"/>
        <s v="24/07/21 AM" u="1"/>
        <s v="27/09 PM" u="1"/>
        <s v="05/08/21 PM" u="1"/>
        <s v="25/07/21 PM" u="1"/>
        <s v="22/09/2021 PM" u="1"/>
        <s v="10/09/2021 PM" u="1"/>
        <s v="02/04/2021 am" u="1"/>
        <s v="14/12/2021 AM" u="1"/>
        <s v="30/10/2021 AM" u="1"/>
        <s v="06/04/AM" u="1"/>
        <s v="06/05AM" u="1"/>
        <s v="16/09/21 AM" u="1"/>
        <s v="05/09/21 PM" u="1"/>
        <s v="25/08/21 Pm" u="1"/>
        <s v="13/08/21 PM" u="1"/>
        <s v="30/09/2021 Pm" u="1"/>
        <s v="01/08/21 Pm" u="1"/>
        <s v="21/07/21 Pm" u="1"/>
        <s v="22/12/2021 AM" u="1"/>
        <s v="10/12/2021 AM" u="1"/>
        <s v="30/11/2021 AM" u="1"/>
        <s v="26/05AM" u="1"/>
        <s v="13/09/21 PM" u="1"/>
        <s v="20/08/21 Am" u="1"/>
        <s v="21/08/21 Pm" u="1"/>
        <s v="2/10/2021 PM" u="1"/>
        <s v="2/01/2022 AM" u="1"/>
        <s v="10/04/AM" u="1"/>
        <s v="18/07AM" u="1"/>
        <s v="21/09/21 PM" u="1"/>
        <s v="30/12AM" u="1"/>
        <s v="22/05/2020 am" u="1"/>
        <s v="18/05/PM" u="1"/>
        <s v="06/08AM" u="1"/>
        <s v="26/07AM" u="1"/>
        <s v="02/07AM" u="1"/>
        <s v="22/06AM" u="1"/>
        <s v="6/10/2021 PM" u="1"/>
        <s v="6/12/2021 AM" u="1"/>
        <s v="19/01/2022 PM" u="1"/>
        <s v="07/01/2022 PM" u="1"/>
        <s v="10/07AM" u="1"/>
        <s v="30/06AM" u="1"/>
        <s v="26/09/2021 AM" u="1"/>
        <s v="19/02/2022 PM" u="1"/>
        <s v="07/02/2022 PM" u="1"/>
        <s v="27/01/2022 PM" u="1"/>
        <s v="15/01/2022 PM" u="1"/>
        <s v="27/03/2021 PM " u="1"/>
        <s v="12/01/2022 15:00hrs" u="1"/>
        <s v="03/01/2022 PM" u="1"/>
        <s v="02/09AM" u="1"/>
        <s v="22/08AM" u="1"/>
        <s v="22/09/2021 AM" u="1"/>
        <s v="17/10PM" u="1"/>
        <s v="01/01PM" u="1"/>
        <s v="22/06/PM" u="1"/>
        <s v="15/02/2022 PM" u="1"/>
        <s v="03/02/2022 PM" u="1"/>
        <s v="23/01/2022 PM" u="1"/>
        <s v="11/01/2022 PM" u="1"/>
        <s v="19/10/2021 PM" u="1"/>
        <s v="22/09AM" u="1"/>
        <s v="07/10/2021 PM" u="1"/>
        <s v="4/01/2022 PM" u="1"/>
        <s v="30/09/2021 AM" u="1"/>
        <s v="19/03/2021 PM" u="1"/>
        <s v="11/02/2022 PM" u="1"/>
        <s v="19/11/2021 PM" u="1"/>
        <s v="31/01/2022 PM" u="1"/>
        <s v="07/11/2021 PM" u="1"/>
        <s v="27/10/2021 PM" u="1"/>
        <s v="15/10/2021 PM" u="1"/>
        <s v="03/10/2021 PM" u="1"/>
        <s v="29/04PM" u="1"/>
        <s v="05/04pm" u="1"/>
        <s v="29/12PM" u="1"/>
        <s v="25/11PM" u="1"/>
        <s v="07/04/2021 PM" u="1"/>
        <s v="27/03/2021 PM" u="1"/>
        <s v="19/12/2021 PM" u="1"/>
        <s v="07/12/2021 PM" u="1"/>
        <s v="27/11/2021 PM" u="1"/>
        <s v="15/11/2021 PM" u="1"/>
        <s v="03/11/2021 PM" u="1"/>
        <s v="16/10 PM" u="1"/>
        <s v="11/10/2021 PM" u="1"/>
        <s v="12/01/2022 16:00hrs" u="1"/>
        <s v="03/04/2021 pm" u="1"/>
        <s v="23/03/2021 PM" u="1"/>
        <s v="27/12/2021 PM" u="1"/>
        <s v="28/05 AM" u="1"/>
        <s v="03/12/2021 PM" u="1"/>
        <s v="23/11/2021 PM" u="1"/>
        <s v="11/11/2021 PM" u="1"/>
        <s v="31/10/2021 PM" u="1"/>
        <s v="04/05 AM" u="1"/>
        <s v="24/04 AM" u="1"/>
        <s v="09/07PM" u="1"/>
        <s v="29/06PM" u="1"/>
        <s v="05/02/2022 12:30hrs" u="1"/>
        <s v="05/06PM" u="1"/>
        <s v="25/05PM" u="1"/>
        <s v="21/04PM" u="1"/>
        <s v="31/03/2021 Pm" u="1"/>
        <s v="31/12/2022 PM" u="1"/>
        <s v="23/12/2021 PM" u="1"/>
        <s v="11/12/2021 PM" u="1"/>
        <s v="19/01/2022 AM" u="1"/>
        <s v="07/01/2022 AM" u="1"/>
        <s v="17/07PM" u="1"/>
        <s v="25/06PM" u="1"/>
        <s v="ETA 27/04PM" u="1"/>
        <s v="29/04/21 Am" u="1"/>
        <s v="27/06/2021 Pm" u="1"/>
        <s v="18/04/21 Pm" u="1"/>
        <s v="15/06/2021 pm" u="1"/>
        <s v="28/05 PM" u="1"/>
        <s v="11/05/2021 PM" u="1"/>
        <s v="04/05 PM" u="1"/>
        <s v="24/04 Pm" u="1"/>
        <s v="12/04 PM" u="1"/>
        <s v="16/07 AM" u="1"/>
        <s v="21/10/21 AM" u="1"/>
        <s v="31/12/2021 PM" u="1"/>
        <s v="04/07 AM" u="1"/>
        <s v="22/10/21 PM" u="1"/>
        <s v="07/02/2022 AM" u="1"/>
        <s v="27/01/2022 AM" u="1"/>
        <s v="27/03/2021 AM " u="1"/>
        <s v="21/06PM" u="1"/>
        <s v="05/02/2022 13:00hrs" u="1"/>
        <s v="09/06/21 Am" u="1"/>
        <s v="11/06/2021 Pm" u="1"/>
        <s v="20/04 PM" u="1"/>
        <s v="15/02/2022 AM" u="1"/>
        <s v="03/02/2022 AM" u="1"/>
        <s v="23/01/2022 AM" u="1"/>
        <s v="11/01/2022 AM" u="1"/>
        <s v="13/08PM" u="1"/>
        <s v="01/08PM" u="1"/>
        <s v="19/09/2021 PM" u="1"/>
        <s v="17/06/21 Am" u="1"/>
        <s v="18/06/21 Pm" u="1"/>
        <s v="13/05/21 Am" u="1"/>
        <s v="16/07 PM" u="1"/>
        <s v="14/05/21 Pm" u="1"/>
        <s v="11/02/2022 AM" u="1"/>
        <s v="31/01/2022 AM" u="1"/>
        <s v="07/11/2021 AM" u="1"/>
        <s v="03/10/2021 AM" u="1"/>
        <s v="01/09PM" u="1"/>
        <s v="21/08PM" u="1"/>
        <s v="24/03/2021  PM " u="1"/>
        <s v="09/08/21 AM" u="1"/>
        <s v="27/09/2021 PM" u="1"/>
        <s v="05/07/21 Am" u="1"/>
        <s v="06/07/21 Pm" u="1"/>
        <s v="26/06/21 PM" u="1"/>
        <s v="31/07/2021 Pm" u="1"/>
        <s v="12/07 PM" u="1"/>
        <s v="07/04/2021 Am" u="1"/>
        <s v="27/11/2021 AM" u="1"/>
        <s v="11/10/2021 AM" u="1"/>
        <s v="21/09PM" u="1"/>
        <s v="19/04AM" u="1"/>
        <s v="29/08/21 AM" u="1"/>
        <s v="18/08/21 Pm" u="1"/>
        <s v="25/07/21 AM" u="1"/>
        <s v="26/07/21 PM" u="1"/>
        <s v="23/09/2021 PM" u="1"/>
        <s v="01/07/21 AM" u="1"/>
        <s v="11/09/2021 PM" u="1"/>
        <s v="10/06/21 Pm" u="1"/>
        <s v="9/07PM" u="1"/>
        <s v="27/12/2021 Am" u="1"/>
        <s v="03/12/2021 AM" u="1"/>
        <s v="23/11/2021 AM" u="1"/>
        <s v="11/11/2021 AM" u="1"/>
        <s v="31/10/2021 AM" u="1"/>
        <d v="2021-11-06T00:00:00" u="1"/>
        <d v="2021-12-02T00:00:00" u="1"/>
        <s v="19/05AM" u="1"/>
        <s v="17/09/21 AM" u="1"/>
        <s v="05/09/21 AM" u="1"/>
        <s v="18/09/21 PM" u="1"/>
        <s v="25/08/21 AM" u="1"/>
        <s v="06/09/21 PM" u="1"/>
        <s v="26/08/21 PM" u="1"/>
        <s v="17/02/02/2022 AM" u="1"/>
        <s v="14/08/21 pm" u="1"/>
        <s v="21/07/21 AM" u="1"/>
        <s v="02/08/21 pm" u="1"/>
        <s v="22/07/21 Pm" u="1"/>
        <s v="30/06/21 Pm" u="1"/>
        <d v="2021-06-28T00:00:00" u="1"/>
        <s v="31/03/2021 Am" u="1"/>
        <s v="27/05AM" u="1"/>
        <s v="15/05AM" u="1"/>
        <s v="11/04AM" u="1"/>
        <s v="14/09/21 PM" u="1"/>
        <s v="21/08/21 Am" u="1"/>
        <s v="02/09/21 PM" u="1"/>
        <s v="10/08/21 Pm" u="1"/>
        <s v="30/07/21 Pm" u="1"/>
        <s v="23/05/2021 am" u="1"/>
        <s v="31/12/2021 AM" u="1"/>
        <s v="30/08/21 PM" u="1"/>
        <s v="31/05/2021 Am" u="1"/>
        <s v="12/01/2022 18:30hrs" u="1"/>
        <d v="2021-12-08T00:00:00" u="1"/>
        <s v="27/07AM" u="1"/>
        <s v="23/06AM" u="1"/>
        <s v="08/01/2022 PM" u="1"/>
        <s v="15/08AM" u="1"/>
        <s v="27/09/2021 AM" u="1"/>
        <d v="2021-12-12T00:00:00" u="1"/>
        <s v="08/02/2022 PM" u="1"/>
        <s v="28/01/2022 PM" u="1"/>
        <s v="16/01/2022 PM" u="1"/>
        <s v="04/01/2022 PM" u="1"/>
        <s v="23/08AM" u="1"/>
        <s v="23/09/2021 AM" u="1"/>
        <s v="11/09/2021 AM" u="1"/>
        <d v="2021-12-14T00:00:00" u="1"/>
        <s v="16/02/2022 PM" u="1"/>
        <s v="04/02/2022 PM" u="1"/>
        <s v="24/01/2022 PM" u="1"/>
        <s v="12/01/2022 Pm" u="1"/>
        <s v="04/04/2021 pm " u="1"/>
        <s v="08/10/2021 PM" u="1"/>
        <s v="15/01/2022 11:33hrs" u="1"/>
        <s v="12/02/2022 PM" u="1"/>
        <s v="08/11/2021 PM" u="1"/>
        <s v="20/01/2022 PM" u="1"/>
        <s v="28/10/2021 Pm" u="1"/>
        <s v="04/10/2021 PM" u="1"/>
        <s v="18/04PM" u="1"/>
        <d v="2021-10-26T00:00:00" u="1"/>
        <s v="08/04/2021 Pm" u="1"/>
        <s v="28/03/2021 PM" u="1"/>
        <s v="16/03/2021 pm" u="1"/>
        <s v="08/12/2021 PM" u="1"/>
        <s v="28/11/2021 PM" u="1"/>
        <s v="16/11/2021 PM" u="1"/>
        <s v="29/04 Am" u="1"/>
        <s v="04/11/2021 PM" u="1"/>
        <s v="24/10/2021 PM" u="1"/>
        <s v="17/10 PM" u="1"/>
        <s v="29/12 AM" u="1"/>
        <s v="18/05PM" u="1"/>
        <s v="06/05PM" u="1"/>
        <s v="14/04PM" u="1"/>
        <s v="04/04/2021 pm" u="1"/>
        <s v="24/03/2021 PM" u="1"/>
        <s v="28/12/2021 PM" u="1"/>
        <s v="04/12/2021 PM" u="1"/>
        <s v="24/11/2021 PM" u="1"/>
        <s v="12/11/2021 PM" u="1"/>
        <s v="05/05 AM" u="1"/>
        <s v="25/04 AM" u="1"/>
        <s v="25/10 PM" u="1"/>
        <s v="20/10/2021 PM" u="1"/>
        <s v="13/04 AM" u="1"/>
        <s v="06/06PM" u="1"/>
        <s v="26/05PM" u="1"/>
        <s v="PM" u="1"/>
        <s v="10/04PM" u="1"/>
        <s v="29/04 Pm" u="1"/>
        <s v="20/03/2021 PM" u="1"/>
        <s v="24/12/2021 PM" u="1"/>
        <s v="12/12/2021 PM" u="1"/>
        <s v="08/01/2022 AM" u="1"/>
        <s v="20/11/2021 PM" u="1"/>
        <s v="01/05 AM" u="1"/>
        <s v="21/04 AM" u="1"/>
        <s v="18/07PM" u="1"/>
        <s v="13/01/2022 16:30hrs" u="1"/>
        <s v="26/06PM" u="1"/>
        <s v="30/12PM" u="1"/>
        <s v="18/04/21 AM" u="1"/>
        <s v="16/06/2021 pm" u="1"/>
        <d v="2022-01-05T00:00:00" u="1"/>
        <s v="25/04 PM" u="1"/>
        <s v="13/04 PM" u="1"/>
        <s v="22/10/21 AM" u="1"/>
        <s v="23/10/21 PM" u="1"/>
        <s v="20/12/2021 PM" u="1"/>
        <s v="28/01/2022 AM" u="1"/>
        <s v="26/07PM" u="1"/>
        <s v="22/06PM" u="1"/>
        <s v="08/08/2021 Pm" u="1"/>
        <s v="15/04/21 Pm" u="1"/>
        <s v="12/06/2021 pm" u="1"/>
        <s v="01/05 PM" u="1"/>
        <s v="21/04 PM" u="1"/>
        <s v="13/07 AM" u="1"/>
        <s v="16/02/2022 AM" u="1"/>
        <s v="01/07 AM" u="1"/>
        <s v="04/02/2022 AM" u="1"/>
        <s v="24/01/2022 AM" u="1"/>
        <s v="14/08PM" u="1"/>
        <s v="10/07PM" u="1"/>
        <s v="Pdte plan " u="1"/>
        <s v="08/09/2021 PM" u="1"/>
        <s v="19/06/21 Pm" u="1"/>
        <s v="07/06/21 PM" u="1"/>
        <s v="04/08/2021 Pm" u="1"/>
        <s v="17/07 PM" u="1"/>
        <s v="15/05/21 Pm" u="1"/>
        <s v="16/16/2021 PM" u="1"/>
        <s v="12/02/2022 AM" u="1"/>
        <s v="20/01/2022 AM" u="1"/>
        <s v="28/10/2021 AM" u="1"/>
        <s v="04/10/2021 AM" u="1"/>
        <s v="22/08PM" u="1"/>
        <s v="28/09/2021 PM" u="1"/>
        <s v="06/07/21 Am" u="1"/>
        <s v="19/07/21 PM" u="1"/>
        <s v="07/07/21 Pm" u="1"/>
        <s v="27/06/21 Pm" u="1"/>
        <s v="04/09/2021 PM" u="1"/>
        <s v="13/07 PM" u="1"/>
        <s v="11/05/21 Pm" u="1"/>
        <s v="28/03/2021 AM" u="1"/>
        <s v="16/11/2021 AM" u="1"/>
        <s v="04/11/2021 AM" u="1"/>
        <s v="24/01/2020 AM" u="1"/>
        <s v="12/10/2021 AM" u="1"/>
        <s v="22/09PM" u="1"/>
        <s v="18/08/21 Am" u="1"/>
        <s v="19/08/21 PM" u="1"/>
        <s v="07/08/21 Pm" u="1"/>
        <s v="24/09/2021 PM" u="1"/>
        <s v="12/09/2021 PM" u="1"/>
        <s v="10/06/21 AM" u="1"/>
        <s v="01/05 PM&quot;" u="1"/>
        <s v="04/04/2021 am" u="1"/>
        <s v="30/03/2021  Pm" u="1"/>
        <s v="20/10/2021 AM" u="1"/>
        <s v="13/01/2022 01:26hrs" u="1"/>
        <s v="08/05AM" u="1"/>
        <s v="28/04AM" u="1"/>
        <s v="18/09/21 AM" u="1"/>
        <s v="06/09/21 AM" u="1"/>
        <s v="26/08/21 AM" u="1"/>
        <s v="07/09/21 PM" u="1"/>
        <s v="14/08/21 am" u="1"/>
        <s v="02/08/21 Am" u="1"/>
        <s v="15/08/21 Pm" u="1"/>
        <s v="22/07/21 AM" u="1"/>
        <s v="03/08/21 PM" u="1"/>
        <s v="23/07/21 PM" u="1"/>
        <s v="20/09/2021 PM" u="1"/>
        <s v="24/12/2021 AM" u="1"/>
        <s v="12/12/2021 AM" u="1"/>
        <s v="20/11/2021 AM" u="1"/>
        <s v="12/04AM" u="1"/>
        <s v="15/09/21 PM" u="1"/>
        <s v="03/09/21 Pm" u="1"/>
        <s v="10/08/21 AM" u="1"/>
        <s v="11/08/21 PM" u="1"/>
        <s v="31/07/21 Pm" u="1"/>
        <s v="1/10/2021 PM" u="1"/>
        <d v="2021-04-05T00:00:00" u="1"/>
        <s v="1/01/2022 AM" u="1"/>
        <s v="20/12/2021 AM" u="1"/>
        <s v="08/04/pm" u="1"/>
        <s v="08/07AM" u="1"/>
        <s v="20/04AM" u="1"/>
        <s v="23/09/21 Pm" u="1"/>
        <s v="30/08/21 AM" u="1"/>
        <s v="31/08/21 PM" u="1"/>
        <s v="3/01/2022 AM" u="1"/>
        <s v="12/06/2021 am" u="1"/>
        <s v="13/01/2022 18:30hrs" u="1"/>
        <s v="30/04/ PM" u="1"/>
        <s v="28/07AM" u="1"/>
        <s v="24/06AM" u="1"/>
        <s v="04/08/2021 Am" u="1"/>
        <s v="9/12/2020 am" u="1"/>
        <s v="05/042021 pm" u="1"/>
        <s v="09/01/2022 PM" u="1"/>
        <s v="12/07AM" u="1"/>
        <s v="25/07/21  PM" u="1"/>
        <s v="28/09/2021 AM" u="1"/>
        <s v="14/01/2022 22:28hrs" u="1"/>
        <s v="04/09/2021 AM" u="1"/>
        <s v="14/01/2022 10:45hrs" u="1"/>
        <d v="2021-06-15T19:15:00" u="1"/>
        <s v="09/02/2022 PM" u="1"/>
        <s v="29/01/2022 PM" u="1"/>
        <s v="17/01/2022 PM" u="1"/>
        <s v="28/09AM" u="1"/>
        <s v="05/01/2022 Pm" u="1"/>
        <s v="24/08AM" u="1"/>
        <s v="1/01/2022 PM" u="1"/>
        <s v="12/09/2021 AM" u="1"/>
        <s v="30/04/ AM" u="1"/>
        <s v="25/01/2022 PM" u="1"/>
        <s v="13/01/2022 Pm" u="1"/>
        <s v="01/01/2022 PM" u="1"/>
        <s v="09/10/2021 PM" u="1"/>
        <s v="3/01/2022 PM" u="1"/>
        <s v="20/09/2021 AM" u="1"/>
        <s v="13/02/2022 Pm" u="1"/>
        <s v="01/02/2022 PM" u="1"/>
        <s v="09/11/2021 PM" u="1"/>
        <s v="21/01/2022 PM" u="1"/>
        <s v="29/10/2021 Pm" u="1"/>
        <s v="17/10/2021 PM" u="1"/>
        <s v="20/09AM" u="1"/>
        <s v="05/10/2021 pm" u="1"/>
        <s v="09/10/2020 pm" u="1"/>
        <s v="5/12/2021 PM" u="1"/>
        <s v="9/12/2020 pm" u="1"/>
        <s v="19/04PM" u="1"/>
        <s v="29/03/2021 Pm" u="1"/>
        <s v="17/03/2021 PM" u="1"/>
        <s v="09/12/2021 PM" u="1"/>
        <s v="29/11/2021 PM" u="1"/>
        <s v="17/11/2021 PM" u="1"/>
        <s v="05/11/2021 PM" u="1"/>
        <s v="25/10/2021 PM" u="1"/>
        <s v="18/04 am" u="1"/>
        <s v="13/10/2021 PM" u="1"/>
        <s v="01/10/2021 PM" u="1"/>
        <s v="09/05/2021 PM" u="1"/>
        <s v="05/04/2021 Pm" u="1"/>
        <s v="25/03/2021 PM" u="1"/>
        <s v="29/12/2021 PM" u="1"/>
        <s v="13/03/2021 pm" u="1"/>
        <s v="17/12/2021 PM" u="1"/>
        <s v="05/12/2021 PM" u="1"/>
        <s v="09/12/2020 pm" u="1"/>
        <s v="25/11/2021 PM" u="1"/>
        <s v="13/02/2020 Pm" u="1"/>
        <s v="13/11/2021 PM" u="1"/>
        <s v="01/11/2021 PM" u="1"/>
        <s v="14/04 AM" u="1"/>
        <s v="19/06PM" u="1"/>
        <s v="07/06PM" u="1"/>
        <s v="11/04PM" u="1"/>
        <s v="01/04/2021 Pm" u="1"/>
        <s v="21/03/2021 PM" u="1"/>
        <s v="25/12/2021 Pm" u="1"/>
        <s v="13/12/2021 PM" u="1"/>
        <s v="01/12/2021 PM" u="1"/>
        <s v="09/01/2022 AM" u="1"/>
        <s v="21/11/2021 PM" u="1"/>
        <s v="22/04 AM" u="1"/>
        <s v="21403/2021 PM" u="1"/>
        <d v="2021-08-07T00:00:00" u="1"/>
        <s v="19/07PM" u="1"/>
        <s v="31/12PM" u="1"/>
        <s v="19/04/21 Am" u="1"/>
        <s v="29/06/2021 Pm" u="1"/>
        <s v="17/06/2021 Pm" u="1"/>
        <s v="14/04 PM" u="1"/>
        <s v="09/02/2022 AM" u="1"/>
        <s v="21/12/2021 PM" u="1"/>
        <s v="29/01/2022 AM" u="1"/>
        <s v="9/02/2022 PM" u="1"/>
        <s v="17/01/2022 AM" u="1"/>
        <s v="30/04 AM" u="1"/>
        <s v="23/06PM" u="1"/>
        <s v="11/06Pm" u="1"/>
        <s v="285/07/21 Pm" u="1"/>
        <s v="09/08/2021 PM" u="1"/>
        <s v="16/04/21 Pm" u="1"/>
        <s v="13/06/2021 pm" u="1"/>
        <s v="02/05 PM" u="1"/>
        <s v="22/04 PM" u="1"/>
        <s v="14/07 AM" u="1"/>
        <s v="02/07 Am" u="1"/>
        <s v="20/10/21 PM" u="1"/>
        <s v="05/02/2022 AM" u="1"/>
        <s v="13/01/2022 AM" u="1"/>
        <s v="7/04/2021 Pm" u="1"/>
        <s v="15/08PM" u="1"/>
        <s v="11/07PM" u="1"/>
        <s v="19/06/21 Am" u="1"/>
        <s v="09/09/2021 PM" u="1"/>
        <s v="08/06/21 PM" u="1"/>
        <s v="02/06 PM" u="1"/>
        <s v="21/05/2020 PM" u="1"/>
        <s v="30/04 PM" u="1"/>
        <s v="24/10/21/ PM" u="1"/>
        <s v="30/06 AM" u="1"/>
        <s v="01/02/2022 AM" u="1"/>
        <s v="09/11/2021 AM" u="1"/>
        <s v="21/01/2022 AM" u="1"/>
        <s v="29/10/2021 AM" u="1"/>
        <s v="05/10/2021 AM" u="1"/>
        <s v="03/09PM" u="1"/>
        <s v="23/08PM" u="1"/>
        <s v="5/07/2021 AM" u="1"/>
        <s v="29/09/2021 PM" u="1"/>
        <s v="07/07/21 Am" u="1"/>
        <s v="27/06/21 Am" u="1"/>
        <s v="17/09/2021 PM" u="1"/>
        <s v="08/07/21 Pm" u="1"/>
        <s v="28/06/21 Pm" u="1"/>
        <s v="13/08/2021 PM" u="1"/>
        <s v="12/05/21 Pm" u="1"/>
        <s v="09/04/2021 Am" u="1"/>
        <s v="29/03/2021 Am" u="1"/>
        <s v="17/03/2021 am" u="1"/>
        <s v="29/11/2021 AM" u="1"/>
        <s v="05/11/2021 AM" u="1"/>
        <s v="25/10/2021 AM" u="1"/>
        <s v="13/10/2021 AM" u="1"/>
        <s v="31/08PM" u="1"/>
        <s v="ITBB" u="1"/>
        <s v="27/07/21 AM" u="1"/>
        <s v="28/07/21 Pm" u="1"/>
        <s v="25/09/2021 PM" u="1"/>
        <s v="09/05/2021 AM" u="1"/>
        <s v="05/04/2021 am" u="1"/>
        <s v="25/03/2021 AM" u="1"/>
        <s v="05/12/2021 AM" u="1"/>
        <s v="09/12/2020 am" u="1"/>
        <s v="31/03/2021  Pm" u="1"/>
        <s v="13/11/2021 AM" u="1"/>
        <s v="01/11/2021 AM" u="1"/>
        <s v="09/04/AM" u="1"/>
        <d v="2021-12-01T00:00:00" u="1"/>
        <s v="07/09/21 AM" u="1"/>
        <s v="27/08/21 AM" u="1"/>
        <s v="15/08/21 AM" u="1"/>
        <s v="28/08/21 PM" u="1"/>
        <s v="03/08/21 Am" u="1"/>
        <s v="23/07/21 AM" u="1"/>
        <s v="25/11AM" u="1"/>
        <s v="04/08/21 Pm" u="1"/>
        <s v="24/07/21 PM" u="1"/>
        <s v="21/09/2021 PM" u="1"/>
        <s v="15/06/2021  pm" u="1"/>
        <s v="21/11/2021 AM" u="1"/>
        <d v="2021-10-11T00:00:00" u="1"/>
        <s v="17/05AM" u="1"/>
        <s v="15/09/21 AM" u="1"/>
        <s v="16/09/21 PM" u="1"/>
        <s v="04/09/21 Pm" u="1"/>
        <s v="11/08/21 am" u="1"/>
        <s v="24/08/21 Pm" u="1"/>
        <s v="31/07/21 Am" u="1"/>
        <s v="20/07/21 Pm" u="1"/>
        <s v="29/06/2021 AM" u="1"/>
        <s v="17/06/2021 Am" u="1"/>
        <s v="21/12/2021 AM" u="1"/>
        <s v="9/06/2021 Pm" u="1"/>
        <s v="09/07AM" u="1"/>
        <s v="13/01/2022 18:11hrs" u="1"/>
        <s v="12/09/21 PM" u="1"/>
        <s v="20/08/21 Pm" u="1"/>
        <s v="13/06/2021 am" u="1"/>
        <s v="05/04/pm" u="1"/>
        <s v="29/07AM" u="1"/>
        <s v="25/06AM" u="1"/>
        <s v="09/09/2021 AM" u="1"/>
        <s v="01/07/2021 AM" u="1"/>
        <d v="2021-10-17T00:00:00" u="1"/>
        <s v="29/09/2021 AM" u="1"/>
        <s v="18/01/2022 PM" u="1"/>
        <s v="06/01/2022 PM" u="1"/>
        <s v="04/02/2022 11:00hrs" u="1"/>
        <s v="13/08AM" u="1"/>
        <s v="25/09/2021 AM" u="1"/>
        <d v="2021-12-13T00:00:00" u="1"/>
        <s v="26/01/2022 PM" u="1"/>
        <s v="14/01/2022 PM" u="1"/>
        <s v="26/03/2021 PM " u="1"/>
        <s v="02/01/2022 PM" u="1"/>
        <s v="01/09AM" u="1"/>
        <s v="01/07/PM" u="1"/>
        <d v="2021-12-15T00:00:00" u="1"/>
      </sharedItems>
    </cacheField>
    <cacheField name="Km" numFmtId="0">
      <sharedItems containsMixedTypes="1" containsNumber="1" containsInteger="1" minValue="71" maxValue="602"/>
    </cacheField>
    <cacheField name="Rio" numFmtId="0">
      <sharedItems/>
    </cacheField>
    <cacheField name="Operación" numFmtId="0">
      <sharedItems containsBlank="1" count="569">
        <s v="Maniobras de zarpe"/>
        <s v="Mantenimiento"/>
        <s v="Fuera de servicio"/>
        <s v="Disponible"/>
        <s v="Suministro Combustible"/>
        <s v="Navegando"/>
        <s v="Maniobras de arribo"/>
        <s v="Asistiendo operación"/>
        <s v="" u="1"/>
        <s v="Asistiendo operaciones traliviano" u="1"/>
        <m u="1"/>
        <s v="Recibiendo Combustible del Zambrano" u="1"/>
        <s v="En manuiobras de retiro" u="1"/>
        <s v="Navegando de arete con el RR barranquilla" u="1"/>
        <s v="Evacuación SLOP" u="1"/>
        <s v="Operación limpiza TK lastre" u="1"/>
        <s v="Maniobras de ingreso a bahia CTG" u="1"/>
        <s v="Navegando Remolcado por el GLoria" u="1"/>
        <s v="Dispoonible" u="1"/>
        <s v="Ingresando bczs" u="1"/>
        <s v="Em maniobras ingreso de bczas" u="1"/>
        <s v="Recibiendo Combustible del RR barranquilla" u="1"/>
        <s v="Recepcion de combustible" u="1"/>
        <s v="Recepción de combustible" u="1"/>
        <s v="Asitiendo Operación" u="1"/>
        <s v="A  la espera del RR Calamar" u="1"/>
        <s v="Asistiendo Operación " u="1"/>
        <s v="En maniobras ingreso de set" u="1"/>
        <s v="Toma de Agua potable" u="1"/>
        <s v="Tomando Agua potable" u="1"/>
        <s v="Esperando al RR Puerto Salgar" u="1"/>
        <s v="Mantenimeinto" u="1"/>
        <s v="Descargando Slop" u="1"/>
        <s v="Navegando de arete con el RR Soledad" u="1"/>
        <s v="Navegando remolcado por el R Soledad" u="1"/>
        <s v="Maniobras zarpe" u="1"/>
        <s v="Recibo de Slop" u="1"/>
        <s v="Entrega de combustible al RR Barranquilla" u="1"/>
        <s v="Entregando combusitble al RR barranquilla" u="1"/>
        <s v="Entregando Combustible al RR Barranquilla" u="1"/>
        <s v="Maniobra arribo" u="1"/>
        <s v="Asignado a op" u="1"/>
        <s v="Asistiendo Operación Feeder" u="1"/>
        <s v="Espera de marea para ingreso de bczs" u="1"/>
        <s v="Maniobras de arribo " u="1"/>
        <s v="Averiado" u="1"/>
        <s v="Navegando hacia boya de Pto Bahia" u="1"/>
        <s v="Maniobras conformacion de set" u="1"/>
        <s v="Navegando de arete al RR Gloria" u="1"/>
        <s v="Acoplando al RR Puerto berrio y continua navegacion" u="1"/>
        <s v="En maniobras de conformación" u="1"/>
        <s v="Maniobras con barcaza" u="1"/>
        <s v="Maniobras de Arrico" u="1"/>
        <s v="Maniobras De retiro Magfuel" u="1"/>
        <s v="Esperando ventana" u="1"/>
        <s v="Armando convoy" u="1"/>
        <s v="Subiendo a Ecopetrol" u="1"/>
        <s v="En maniobras de Zarpe hacia el 110CD" u="1"/>
        <s v="Suministro de comsbutible" u="1"/>
        <s v="En maniobras de reiro de barcazas" u="1"/>
        <s v="Entregando Combustible al RR Soledad" u="1"/>
        <s v="En maniobrasn de Zarpe" u="1"/>
        <s v="Apoyo fraccionamiento RR Pto Salgar" u="1"/>
        <s v="Asisitiendo Cargue Magfuel #2" u="1"/>
        <s v="En mniobras con el ponton" u="1"/>
        <s v="Asistiendo operacion" u="1"/>
        <s v="En maniobras de zarpe" u="1"/>
        <s v="En manoibras de Zarpe" u="1"/>
        <s v="Navegando remolcado al RR Gamarra" u="1"/>
        <s v="A la espera del RR Barranquilla" u="1"/>
        <s v="Entregando combustible al RR Cantagallo" u="1"/>
        <s v="Recibiendo bczs al RR Gamarra" u="1"/>
        <s v="Custodiando bczs" u="1"/>
        <s v="Ingreso de SET" u="1"/>
        <s v="Intercambio de bczs con el RR Gloria" u="1"/>
        <s v="Maniobra de bajada" u="1"/>
        <s v="Custodia de barcazas / Disponible para maniobras" u="1"/>
        <s v="Navegando hacia el 110" u="1"/>
        <s v="Navegando de arete con RR Pto Berrio" u="1"/>
        <s v="Intercambiando bczs con el RR Cantagallo" u="1"/>
        <s v="Suministro de agua" u="1"/>
        <s v="Navegando hacia Contecar " u="1"/>
        <s v="Maniobras en zaona fleet " u="1"/>
        <s v="Fuera de servicio " u="1"/>
        <s v="Achique de barcazas" u="1"/>
        <s v="Asistiendo operación  " u="1"/>
        <s v="Maniobras con bcz" u="1"/>
        <s v="En intercabio de Barcazas con el RR Banco" u="1"/>
        <s v="Entrega de Combustible" u="1"/>
        <s v="Entregando Combustible" u="1"/>
        <s v="Maniobras inemrsion de dique" u="1"/>
        <s v="Entregando bcz al RR Banco" u="1"/>
        <s v="Entrega de combsutible al Pto Berrio" u="1"/>
        <s v="Maniobras de armado de convoy " u="1"/>
        <s v="Asistiendo operación Acesco" u="1"/>
        <s v="Entregando Combsutible al RR Calamar" u="1"/>
        <s v="Entregando provisiones al RR Calamar" u="1"/>
        <s v="Esperando RR Gamarra" u="1"/>
        <s v="Asiste operación " u="1"/>
        <s v="Entrega de barcazas" u="1"/>
        <s v="Entregando barcazas" u="1"/>
        <s v="Recibiendo Combustible por el RR Gloria" u="1"/>
        <s v="Maniobra de traslado" u="1"/>
        <s v="Mnaiobras" u="1"/>
        <s v="MAG 16-04 (Cont) TT 21(Vacia)" u="1"/>
        <s v="Esperando marea" u="1"/>
        <s v="Navegando remolcador por el RR Banco" u="1"/>
        <s v="Navegando hacia CTG" u="1"/>
        <s v="Intercambio de barcazas con RR San pablo" u="1"/>
        <s v="Intercambio de bczs con RR Banco" u="1"/>
        <s v="Toma Combustible" u="1"/>
        <s v="Asisitendo Operación" u="1"/>
        <s v="Asisitnedo operación" u="1"/>
        <s v="Custodia bcz" u="1"/>
        <s v="En maniobras de retiro de barcazas" u="1"/>
        <s v="Asistiendo operaciones" u="1"/>
        <s v="EN maniobras de armado" u="1"/>
        <s v="Asistiendo" u="1"/>
        <s v="Maniobras de ingreso a la bahia " u="1"/>
        <s v="En confromacion de convoy para su zarpe" u="1"/>
        <s v="Pruebas" u="1"/>
        <s v="Conformando convoy zarpe" u="1"/>
        <s v="En conformacion de convoy para zarpe" u="1"/>
        <s v="Asisitiendo operación" u="1"/>
        <s v="maniobras de recibo de barcazas" u="1"/>
        <s v="Remolcador Asistencia op." u="1"/>
        <s v="Maniobras conformación" u="1"/>
        <s v="Recibiendo combustible." u="1"/>
        <s v="Asegurado - Custodia de bacazas." u="1"/>
        <s v="Esperando marea para ingreso al canal" u="1"/>
        <s v="Asistiendo operación de cargue" u="1"/>
        <s v="Asistiendo operación Traliviano" u="1"/>
        <s v="Conformandode convoy" u="1"/>
        <s v="En intercambio de bcazas con el RR Pto Salgar" u="1"/>
        <s v="Navegando escotero hacial el KM 579 RM " u="1"/>
        <s v="Maniobras de zarpe a Ecopetrol" u="1"/>
        <s v="Maniobras de zarpe " u="1"/>
        <s v="Maniobras armado de convoy" u="1"/>
        <s v="Evacuando slop" u="1"/>
        <s v="En espera de marea" u="1"/>
        <s v="Inspección Zona Fleet" u="1"/>
        <s v="Recibiendo combustible" u="1"/>
        <s v="Asegurado" u="1"/>
        <s v="Satnd by" u="1"/>
        <s v="Asiste operación" u="1"/>
        <s v="Conformando set de ingreso" u="1"/>
        <s v="Asegurando" u="1"/>
        <s v="Retiro de residuos solidos - toma de insumos" u="1"/>
        <s v="Maniobras de fraccionamiento" u="1"/>
        <s v="Asiste operaciones" u="1"/>
        <s v="Recibiendo barcazas" u="1"/>
        <s v="Recibiendo Materiales" u="1"/>
        <s v="Asiste operación Contecar " u="1"/>
        <s v="En maniobras ingreso de bczas" u="1"/>
        <s v="Trasiego de combustible" u="1"/>
        <s v="Apoyo custodia de barcazas al RR Pto Berrio  " u="1"/>
        <s v="Custodia de baraczas" u="1"/>
        <s v="Maniobras de zarpe hacia SPRB" u="1"/>
        <s v="Apoyo fraccionamiento" u="1"/>
        <s v="Recibo de combustible" u="1"/>
        <s v="Apoyando el ingreso del RR Barrancabermeja" u="1"/>
        <s v="Asistiendo Op" u="1"/>
        <s v="Transferencia Combustible" u="1"/>
        <s v="Transfiriendo combustible" u="1"/>
        <s v="Maniobras apoyo Mtto" u="1"/>
        <s v="Navegando hacia  ITBB" u="1"/>
        <s v="Recibiendo Bczs del RR Cantagallo" u="1"/>
        <s v="Maniobras de achique" u="1"/>
        <s v="En maniobras de retiro de bczas " u="1"/>
        <s v="Recibidendo Combustible del RR Calamar" u="1"/>
        <s v="Trasiego de combustible al RR Magangue" u="1"/>
        <s v="Trasiego de Slop" u="1"/>
        <s v="Ingreso de bczs" u="1"/>
        <s v="Entregando barcazas " u="1"/>
        <s v="Recibiendo combustible del Barranquilla" u="1"/>
        <s v="Entregando combustible a barcazas" u="1"/>
        <s v="custodia Bczs" u="1"/>
        <s v="Maniobras de subida a ecopetrol" u="1"/>
        <s v="En Maniobras de Zarpe hacia Boya de Puerto Bahia" u="1"/>
        <s v="Navegando " u="1"/>
        <s v="Navegano acolplado al RR Magangue" u="1"/>
        <s v="En maniobras de trincado para zarpe" u="1"/>
        <s v="Navegando hacia Compas" u="1"/>
        <s v="suministrando combustible a bcz " u="1"/>
        <s v="Conformando convoy para zarpe" u="1"/>
        <s v="En maniobras de conformacion para zarpe" u="1"/>
        <s v="En maniobras de ocnformacion para zarpe" u="1"/>
        <s v="Cuastodia Bcz" u="1"/>
        <s v="Maniobras  de arribo a cofiba " u="1"/>
        <s v="Entregando Combustible al RR Magangue" u="1"/>
        <s v="Custodia de Barcazas  " u="1"/>
        <s v="Dique" u="1"/>
        <s v="Asegurado (Pernocte)" u="1"/>
        <s v="Navegando ezscotero para apoyo del RR Gamarra" u="1"/>
        <s v="Navegando al encuentro con el Banco" u="1"/>
        <s v="Retiro de barcaza" u="1"/>
        <s v="Asisitiendo operación de cargue Butano" u="1"/>
        <s v="Pruebas de máquinas" u="1"/>
        <s v="Remolcado por el RR Gamarra" u="1"/>
        <s v="Apoyando reacondicinamiento" u="1"/>
        <s v="En manibras de zarpe hacia  110" u="1"/>
        <s v="Disponibloe" u="1"/>
        <s v="Armando convoy " u="1"/>
        <s v="Acoplando barcazas" u="1"/>
        <s v="Recibiendo agua potable" u="1"/>
        <s v="Sondaje" u="1"/>
        <s v="Asignado a ops" u="1"/>
        <s v="Armado de Convoy " u="1"/>
        <s v="Intercambiando" u="1"/>
        <s v="Custodia de barcazas " u="1"/>
        <s v="suminsitrand combustible al RR Gamarra" u="1"/>
        <s v="Disponible " u="1"/>
        <s v="Maniobra de retiro barcazas" u="1"/>
        <s v="Maniobras traslado barcazas" u="1"/>
        <s v="Maniobra de arribo" u="1"/>
        <s v="Intercambiando bcz con RR Barranquiilla" u="1"/>
        <s v="Asistiendo operación de Midland" u="1"/>
        <s v="Maniobras de retiro de Bczas" u="1"/>
        <s v="Suministro de combustible" u="1"/>
        <s v="Maniobras con barcazas" u="1"/>
        <s v="En maniobras  de ingreso de SET" u="1"/>
        <s v="Sin tripulación" u="1"/>
        <s v="Remolcado por el RR Banco" u="1"/>
        <s v="Maniobras de conformacion convoy" u="1"/>
        <s v="Transferencia combustible al RR Barranquilla" u="1"/>
        <s v="Cusotida de Barcazas" u="1"/>
        <s v="Recibeindo Combuistible del RR Gloria" u="1"/>
        <s v="Intercambiando Bcz" u="1"/>
        <s v="Maniobras muelle SP Gloria" u="1"/>
        <s v="Maniobras de ingreso a CTG" u="1"/>
        <s v="Traslado de Barcazas" u="1"/>
        <s v="Maniobras  atraque" u="1"/>
        <s v="Achique bcz" u="1"/>
        <s v="Recibiendo bczs del RR Barranacabermeja" u="1"/>
        <s v="Prueba Lancha de Apoyo" u="1"/>
        <s v="Asistiendo Operación (RR Asistente)" u="1"/>
        <s v="Traslado de bczs" u="1"/>
        <s v="Achique de bczs" u="1"/>
        <s v="Custodia de bcz" u="1"/>
        <s v="Recibiendo Comb. del RR Salgar" u="1"/>
        <s v="Asisitiendo operación " u="1"/>
        <s v="Esperando la MGT 01 (vacia)" u="1"/>
        <s v="navegando de arete con RR Soledad" u="1"/>
        <s v="Navegando Escotero al encuentro con el Magangue" u="1"/>
        <s v="Fraccionamiento" u="1"/>
        <s v="Maniobras de desvare RR Capulco" u="1"/>
        <s v="Intercambiando de barcazas" u="1"/>
        <s v="Navegando remolcado por el RR Soledad" u="1"/>
        <s v="A la espera del RR Magangue" u="1"/>
        <s v="Intercambio de barczas " u="1"/>
        <s v="Maniobras de zarpe hacia Boya" u="1"/>
        <s v="Etregando combustible al RR Slagar" u="1"/>
        <s v="Remolcador por el RR Magangue" u="1"/>
        <s v="Aproximandose a terminal" u="1"/>
        <s v="Recibiendo aceite" u="1"/>
        <s v="Maniobras  con barcazas" u="1"/>
        <s v="En maniobras de Fraccionamiento para ingreso a bahia" u="1"/>
        <s v="Disponible para maniobras " u="1"/>
        <s v="Intercambio de barcazas con RR Gamarra" u="1"/>
        <s v="Entregando comb. Al Magangue" u="1"/>
        <s v="Intercambio de bczs" u="1"/>
        <s v="Asisitiendo Cargue MAgFuel" u="1"/>
        <s v="Suministro de combustible a barcazas" u="1"/>
        <s v="Fraccionamiento " u="1"/>
        <s v="Maniobra" u="1"/>
        <s v="Suministrando combustible a bczs" u="1"/>
        <s v="Suministro de combustible a bczs" u="1"/>
        <s v="Entregando bczs al RR Pto Triunfo" u="1"/>
        <s v="En intercambio de barcazas" u="1"/>
        <s v="Asisitiendo operación Tuberias" u="1"/>
        <s v="Remolcador por el RR Banco" u="1"/>
        <s v="Matenimiento" u="1"/>
        <s v="Arribando" u="1"/>
        <s v="Maniobra retiro" u="1"/>
        <s v="Entregando bczs al RR Magangue" u="1"/>
        <s v="Esperando al RR Capulco" u="1"/>
        <s v="Maniobras de retiro muelle 2.1" u="1"/>
        <s v="Pruebas de maquinas" u="1"/>
        <s v="Novedad" u="1"/>
        <s v="Recibiendo combustible del RR Puerto Salgar" u="1"/>
        <s v="Navegando hacia Pimsa" u="1"/>
        <s v="Navegando remolcado por el RR Gloria" u="1"/>
        <s v="Navegando acoplado al convoy del RR Gamarra" u="1"/>
        <s v="Esperando Ventana SPRB" u="1"/>
        <s v="Esperando Vnetana SPRB" u="1"/>
        <s v="Intercambio de bczs con el RR Mompox" u="1"/>
        <s v="Intercambiando barcazas" u="1"/>
        <s v="Intercambio de barcazas" u="1"/>
        <s v="custodia de bczs " u="1"/>
        <s v="En Intercambio de bcazas con el RR Banco" u="1"/>
        <s v="Maniobras de Conformacion" u="1"/>
        <s v="Maniobras " u="1"/>
        <s v="En amniobras de arribo" u="1"/>
        <s v="Tomando agua" u="1"/>
        <s v="En maniobras de conformacion de ocnvoy" u="1"/>
        <s v="Maniobras Conformacion Convoy" u="1"/>
        <s v="Conformacion de convoy Zarpe " u="1"/>
        <s v="Maniobras de Ingreso set" u="1"/>
        <s v="Apoyo maniobras al RR Gloria" u="1"/>
        <s v="Asignado a la Operación en Compas (Trigo)" u="1"/>
        <s v="Conformacion de convoy para ingreso" u="1"/>
        <s v="Asistiendo Cargue" u="1"/>
        <s v="Maniobras de apoyo" u="1"/>
        <s v="Maniobra de zarpe escotero" u="1"/>
        <s v="Apoyo ingreso bczs" u="1"/>
        <s v="Maniobra ingreso muelle" u="1"/>
        <s v="Navegando hacia Cartagena" u="1"/>
        <s v="En Trasiego de Combustible" u="1"/>
        <s v="De arete con el R Pto Salgar" u="1"/>
        <s v="En espera de tripulación" u="1"/>
        <s v="Evacuacion  de residuo solidos " u="1"/>
        <s v="Cambio de tripulación" u="1"/>
        <s v="Navegando remolcado por el RR Cantagallo " u="1"/>
        <s v="Conformando convoy de zarpe" u="1"/>
        <s v="Maniobra de zarpe hacia Contecar " u="1"/>
        <s v="Entregando Combustible a la Gloria" u="1"/>
        <s v="Navegando  escotero " u="1"/>
        <s v="Navegando Hacia Contecar" u="1"/>
        <s v="Navegando remolcado por RR Salgar" u="1"/>
        <s v="Fuera de servicio // Custodia barcazas " u="1"/>
        <s v="Apoyo a maniobras" u="1"/>
        <s v="En conformacion de convoy" u="1"/>
        <s v="Maniobras de ingreso de Baczas M2" u="1"/>
        <s v="En manibras zarpe con la Magfuel 2 hacia Ecopetrol" u="1"/>
        <s v="Maniobras conformación de SET" u="1"/>
        <s v="Disponnible" u="1"/>
        <s v="Trasladando Magfuel" u="1"/>
        <s v="Maniobras de desacople" u="1"/>
        <s v="Asistiendo operación MN MARIA V" u="1"/>
        <s v="Navegando remolcado por RR Banco" u="1"/>
        <s v="Maniobras arribo" u="1"/>
        <s v="Recibiendo Combustible del Magangue" u="1"/>
        <s v="Asiste ops" u="1"/>
        <s v="Maniobras de arribo a  CTG" u="1"/>
        <s v="Custodia de barcazas" u="1"/>
        <s v="Custodiando Barcazas" u="1"/>
        <s v="Custoida de barcazas" u="1"/>
        <s v="Maniobra de zarpe" u="1"/>
        <s v="Maniobras de desvare" u="1"/>
        <s v="Entregando bczs al RR Salgar" u="1"/>
        <s v="Transferencia Combustible RR Soledad" u="1"/>
        <s v="Maniobras de ingreso hacia Boya de Pto Bahia" u="1"/>
        <s v="En maniobras de Zarpe d" u="1"/>
        <s v="Asiste operación tramedio" u="1"/>
        <s v="A la espera del RR Soledad" u="1"/>
        <s v="En maniobras de reitro de baczas" u="1"/>
        <s v="En manioibras de ingreso" u="1"/>
        <s v="En intercambio de Barcazas con el RR Banco" u="1"/>
        <s v="Descargue de basura - Toma de agua - Combustible" u="1"/>
        <s v="Conexión trasiego combustible" u="1"/>
        <s v="Maniobras de ingreso de Baczas M1" u="1"/>
        <s v="Ingresando set PB" u="1"/>
        <s v="Asgurado" u="1"/>
        <s v="Asistiendo operación SPRB" u="1"/>
        <s v="Transfiriendo combustible al salgar" u="1"/>
        <s v="Apoyo atraque en Conecar" u="1"/>
        <s v="Custrodia de bczs" u="1"/>
        <s v="EN maniobras de intercambio de bczs" u="1"/>
        <s v="En maniobras retiro de bczas" u="1"/>
        <s v="Asisitiendo operación cargue" u="1"/>
        <s v="Asegurado - Conformando convoy" u="1"/>
        <s v="Remolcado por el RR Calamar " u="1"/>
        <s v="Custodia de barcazas a ala espera del RR Gloria" u="1"/>
        <s v="Asistiendo operación Midland" u="1"/>
        <s v="En maniobra de Arribo" u="1"/>
        <s v="Maniobras  " u="1"/>
        <s v="Custodia" u="1"/>
        <s v="Maniobras de Achique bcz" u="1"/>
        <s v="Asitiendo cargue Magfuel " u="1"/>
        <s v="Maniobras de Salida" u="1"/>
        <s v="Intercambio de bcz con RR Magangue" u="1"/>
        <s v="Traslado hacia Isla Rondon" u="1"/>
        <s v="Asisitiendo operación Traliviano" u="1"/>
        <s v="Finalizando Recepcion de provisiones para zarpe" u="1"/>
        <s v="En maniobras  " u="1"/>
        <s v="Ingresando a Bahia" u="1"/>
        <s v="A la espera del RR Barrancabermeja" u="1"/>
        <s v="Remoclado por el RR Triunfo" u="1"/>
        <s v="Remolcado por el RR Triunfo" u="1"/>
        <s v="Navegando remolcado por el RR Banco" u="1"/>
        <s v="Apoyo maniobra" u="1"/>
        <s v="Desacople" u="1"/>
        <s v="Maniobras de desembalse" u="1"/>
        <s v="Asistiendo op MAG 39" u="1"/>
        <s v="Trasegando combustible al RR Pto berrio " u="1"/>
        <s v="Recibiendo bczs del RR Pto Triunfo" u="1"/>
        <s v="Navegando Remolcado por el R-Capulco" u="1"/>
        <s v="Remolcado por R Barranquilla" u="1"/>
        <s v="Maniobra retiro de set" u="1"/>
        <s v="Maniobras de intercambio de bczs" u="1"/>
        <s v="Recibiendo combustible del RR Barrancabermeja" u="1"/>
        <s v="Custodia de bczs" u="1"/>
        <s v="custoida de bczs" u="1"/>
        <s v="Asiste ops " u="1"/>
        <s v="Maniobras   " u="1"/>
        <s v="Custodia Barcazas" u="1"/>
        <s v="Maniobras de ingreso con bczs" u="1"/>
        <s v="Maniobras de ingreso bczas M1" u="1"/>
        <s v="Conformacion de Convoy zarpe" u="1"/>
        <s v="En maniobras " u="1"/>
        <s v="custodiando y asistiendo operación" u="1"/>
        <s v="Transito a muelle SPRB" u="1"/>
        <s v="Maniobras de ingreso y retiro de barczas" u="1"/>
        <s v="Asisitiendo Operaciones" u="1"/>
        <s v="Dsiponible" u="1"/>
        <s v="Custodia de barcaza" u="1"/>
        <s v="Remolcado por el RR Cantagallo" u="1"/>
        <s v="Transfiriendo combustible al RR Zambrano" u="1"/>
        <s v="En maniobras de ingreso a muelle 1" u="1"/>
        <s v="En manobras de conformacion de convoy" u="1"/>
        <s v="Toma De combsutible" u="1"/>
        <s v="Transferencia de combustible" u="1"/>
        <s v="Tranfieriendo slop al RR Mompox" u="1"/>
        <s v="Maniobras de ingreso a bahía" u="1"/>
        <s v="Navegando acoplado al RR Barrancabermeja" u="1"/>
        <s v="Toma de combustibble" u="1"/>
        <s v="asiste operacio" u="1"/>
        <s v="En maniobras  de salida de SET" u="1"/>
        <s v="Maniobras intercambio de bczs" u="1"/>
        <s v="En maniobras" u="1"/>
        <s v="Maniobras para zarpe " u="1"/>
        <s v="En maniobras de ingreso" u="1"/>
        <s v="En maniobras de Conformacion" u="1"/>
        <s v="En maniobras de ocnformacion" u="1"/>
        <s v="En  maniobras de retiro de Set " u="1"/>
        <s v="En maniobras ( Muelle 1)" u="1"/>
        <s v="Prueba de maquinas" u="1"/>
        <s v="Maniobras ingreso" u="1"/>
        <s v="Remolcado por el RR Magangue" u="1"/>
        <s v="Pasando tripulacion" u="1"/>
        <s v="acoplado al convoy del RR Pto Salgar" u="1"/>
        <s v="Armado de Convoy" u="1"/>
        <s v="Asegurado " u="1"/>
        <s v="En maiobras" u="1"/>
        <s v="Achique de bcz" u="1"/>
        <s v="Apoyo maniobras de desvare RR Berrio" u="1"/>
        <s v="Apoyo conformacion de convoy" u="1"/>
        <s v="Conformacion de set de ingreso " u="1"/>
        <s v="Navegado escotero" u="1"/>
        <s v="Toma de agua" u="1"/>
        <s v="Intercambio de bcz con RR Gamarra" u="1"/>
        <s v="Conformacion de barcazas" u="1"/>
        <s v="Conformando Convoy" u="1"/>
        <s v="Remolcador por el R Banco" u="1"/>
        <s v="Apoyando maniobras" u="1"/>
        <s v="Intercambio de bczs con RR Puerto Salgar" u="1"/>
        <s v="Evacuación de SLOP" u="1"/>
        <s v="Maniobras de armado de convoy" u="1"/>
        <s v="Maniorbas de armado de convoy" u="1"/>
        <s v="Maniobras conformacion" u="1"/>
        <s v="Maniobras de  Arribo" u="1"/>
        <s v="Remolcado por el RR Magangué" u="1"/>
        <s v="Navegando remolcado por el RR Calamar" u="1"/>
        <s v="Navegando escotero para tomar bczs del Barranquilla" u="1"/>
        <s v="Maniobras conformación de convoy" u="1"/>
        <s v="Navegando hacia KM 432 RM" u="1"/>
        <s v="Maniobras de apoyo RR Psalgar" u="1"/>
        <s v="Custodia de bcazas " u="1"/>
        <s v="A espera del RR Soledad" u="1"/>
        <s v="Remolcado por R Banco" u="1"/>
        <s v="Esperando al RR Gamarra" u="1"/>
        <s v="Astiendo operación tramedio " u="1"/>
        <s v="Asistiendo trasiego" u="1"/>
        <s v="Maniobra de ingreeso" u="1"/>
        <s v="Asisitiendo operación Tramedio" u="1"/>
        <s v="Toma de combustible " u="1"/>
        <s v="Tomando combustible " u="1"/>
        <s v="Asistiendo Operación cargue" u="1"/>
        <s v="Entregando combustible al RR Barrancabermeja" u="1"/>
        <s v="Maniobra de retiro" u="1"/>
        <s v="Transfiriendo combustible al Zambrano" u="1"/>
        <s v="Navegando de arete con el R-Calamar " u="1"/>
        <s v="Entregando combustible al R Cantagallo" u="1"/>
        <s v="Suminitrando combustible al RR barrancabermeja" u="1"/>
        <s v="Intercambio de convoy" u="1"/>
        <s v="Disponi" u="1"/>
        <s v="Zarpe escotero" u="1"/>
        <s v="Recibiendo Tripulacion" u="1"/>
        <s v="Disponible para maniobras" u="1"/>
        <s v="En custodia de bczas" u="1"/>
        <s v="En maniobras de zarpe hacia Contecar" u="1"/>
        <s v="Recibiendo de combustible e intercambio de cz con el Puerto Berrio" u="1"/>
        <s v="Maniobras de ingreso de bczas M1" u="1"/>
        <s v="Esperando" u="1"/>
        <s v="Ingresando a Bahía" u="1"/>
        <s v="En maniobras de Arribo" u="1"/>
        <s v="Conformacion de Convoy para zarpe" u="1"/>
        <s v="Inspección" u="1"/>
        <s v="Toma De combustible" u="1"/>
        <s v="Tomando Combustible" u="1"/>
        <s v="Asistiendo Operación Traliviano - Tragas" u="1"/>
        <s v="Apoyando Zarpe Banco" u="1"/>
        <s v="En maniobras (Muelle 1)" u="1"/>
        <s v="Navegando hacia Cofiba" u="1"/>
        <s v="Maniobras Intercambio de Barcazas" u="1"/>
        <s v="Asistiendo operación cargue Magfuel" u="1"/>
        <s v="Remolcado por el R Banco" u="1"/>
        <s v="Inspeccion Mintransporte" u="1"/>
        <s v="Cambio de Aceite" u="1"/>
        <s v="Conformacion de Convoy" u="1"/>
        <s v="Conformación de convoy" u="1"/>
        <s v="Entregando Comnbustible al R Capulco" u="1"/>
        <s v="Assitiendo operaciones" u="1"/>
        <s v="Recibiendo combsutible del Pto Triunfo" u="1"/>
        <s v="Instalacion de equipo" u="1"/>
        <s v="Instalación de equipo" u="1"/>
        <s v="Acondicionamiento de convoy" u="1"/>
        <s v="Armando Set" u="1"/>
        <s v="En maniobras de atraque" u="1"/>
        <s v="Maniobras apoyo al RR Banco " u="1"/>
        <s v="En maniobras de retiro" u="1"/>
        <s v="Transferencia de Comsbutible" u="1"/>
        <s v="Trasiego de combustible al RR Tirunfo" u="1"/>
        <s v="Maniobras de acople" u="1"/>
        <s v="Esperando RR Gloria" u="1"/>
        <s v="En Maniobras de zarpe hacia COFIBA" u="1"/>
        <s v="Esperando bczs" u="1"/>
        <s v="Remolcado por R Barrancabermeja" u="1"/>
        <s v="Toma de combustible." u="1"/>
        <s v="Custodia de barczas / Asiste cargue Magfuel" u="1"/>
        <s v="Navegando Remolcado " u="1"/>
        <s v="En Dique" u="1"/>
        <s v="Asisitiendo operación Midland" u="1"/>
        <s v="Remolcado a" u="1"/>
        <s v="Recibiendo Combustible del R Banco" u="1"/>
        <s v="Entregando Combsutible al RR Banco" u="1"/>
        <s v="Asistiendo operación aligeramiento " u="1"/>
        <s v="En maniobras de arribo con la bcza TT 07 (vacia)" u="1"/>
        <s v="Cutodia de bczs" u="1"/>
        <s v="Apoyo maniobras de taraque bczs feeder" u="1"/>
        <s v="Maniobras de intercambio" u="1"/>
        <s v="Recibiendo Combustible del RR mompox" u="1"/>
        <s v="Suministro de Agua " u="1"/>
        <s v="Maniobras de ingreso de bcz." u="1"/>
        <s v="Apoyando zarpe" u="1"/>
        <s v="En manibras arribo  a SPD" u="1"/>
        <s v="Recibiendo Slop el RR Banco" u="1"/>
        <s v="Maniobras de retiro" u="1"/>
        <s v="Maniobras conformación convoy" u="1"/>
        <s v="Amniobras de Arribo" u="1"/>
        <s v="Disponible para Mantenimiento" u="1"/>
        <s v="Navegando escotero para apoyo del RR Gamarra" u="1"/>
        <s v="Esperando operación Acesco" u="1"/>
        <s v="Entrega de combustible e intercambio de cz con el Puerto Berrio" u="1"/>
        <s v="Suministro de comsbutible barcazas" u="1"/>
        <s v="En maniobras ubicación de bczs" u="1"/>
        <s v="En pruebas " u="1"/>
        <s v="Navegando Remolcado por el RR Gloria " u="1"/>
        <s v="A la espera de barcazas" u="1"/>
        <s v="Asisitiendo cargue de la Magfuel" u="1"/>
        <s v="En intercambio de bcazas con el RR Pto Triunfo" u="1"/>
        <s v="Fraccionando" u="1"/>
        <s v="Apoyo al RR Gloria" u="1"/>
        <s v="Asistiendo Operación Tramedio" u="1"/>
        <s v="En Maniobras de Conformacion de convoy" u="1"/>
        <s v="Maniobras de Atraque" u="1"/>
        <s v="Maniobras devare" u="1"/>
        <s v="Trasiego de aceite" u="1"/>
        <s v="Custodia de barczas " u="1"/>
        <s v="Maniobras" u="1"/>
        <s v="Navegando escotero" u="1"/>
        <s v="Navegando remolcado" u="1"/>
        <s v="Maniobras de retiro de barczas " u="1"/>
        <s v="Manobras de retiro" u="1"/>
        <s v="Tomando combustibl e" u="1"/>
        <s v="En maniobras de retiro/ ingreso" u="1"/>
        <s v="Maniobras conformación SET" u="1"/>
        <s v="Maniobras de ingreso" u="1"/>
        <s v="Manteniminento" u="1"/>
      </sharedItems>
    </cacheField>
    <cacheField name="Convoy" numFmtId="0">
      <sharedItems containsBlank="1" count="1714">
        <s v=""/>
        <s v="TTK 85 - 80 - 63 - 67 - MGB 12 (Crudo)"/>
        <s v="TTK 69-15-04 (Vacias)"/>
        <s v="MGB 03 - TTK 66 - 19 (Vacías)"/>
        <s v="TTK 61-07-21 (Diesel)"/>
        <m u="1"/>
        <s v="TTK 12 – 54 (vacías)" u="1"/>
        <s v="TT 16 - 17 - MGT 05 (Crudo)" u="1"/>
        <s v="MAG 04– 08-16 (cont.) " u="1"/>
        <s v="TT 15-53-65 (Vacio)" u="1"/>
        <s v="TT 56-17-64 (Crudo) MAG 25(Carbon)" u="1"/>
        <s v="TTK 02-05-11-12-69-85(Nafta)  - MB 01 - 07 (Vacio)" u="1"/>
        <s v="TT 21 - 17 - 68 (Crudo)" u="1"/>
        <s v="TT 56-17-64 (Crudo) MAG 40(Vacia)" u="1"/>
        <s v="TT 02-16-58-66 MGT 05 -11 (Vacías) " u="1"/>
        <s v="TTK 15-85-MB 11 (Crudo) - MAG 40 (coal)" u="1"/>
        <s v="TTK 12 (vacía) – TTK 57-67 (Nafta)" u="1"/>
        <s v="MAG 34 (cont) - TT 18 (vacía)" u="1"/>
        <s v="TT 71 - 02 (Crudo) + RR Capulco" u="1"/>
        <s v="TT 13  (Traliviano) + MAG 38 (inertizadora)" u="1"/>
        <s v="TT 20 - 73 - 07 (midland)" u="1"/>
        <s v="MAG 31-02(trigo) MAG 06-23(trigo) + MB 04-06(vacías)" u="1"/>
        <s v="TT 14 - 85 - 21 - 54 - 19 (Crudo) - MAG 12 (ISO) " u="1"/>
        <s v=" TT 56 - MB 12 (crudo)- TT 63 – 62 – 18 (Crudo) " u="1"/>
        <s v="MAG 04-16 (Cont.) MAG 12 + TT 04 (Vacías)" u="1"/>
        <s v="TT 03-16-80-64-71-02 (Tramedio) " u="1"/>
        <s v="TT 22 - 14 - 19 (Crudo)" u="1"/>
        <s v="TT 08 - 16 (Crudo) TG 01 (OGR)" u="1"/>
        <s v="TT 09 (Cargada) + MAG 08 (Cont)" u="1"/>
        <s v="MAG 35" u="1"/>
        <s v="MAG 04-16-12(cont)" u="1"/>
        <s v="MAG 15(Tuberia) MAG 19-21(Vacias)" u="1"/>
        <s v="MAG 11" u="1"/>
        <s v="MAG 04-16 (Cont) MAG 12 TTK 53-09-01(Vacia)" u="1"/>
        <s v="MAG 09 (Cont) MAG 04 – 16 (Cont) - MAG 11 (cont)." u="1"/>
        <s v="TTK 66-63-62 (Nafta)" u="1"/>
        <s v=" TTK 12-18-21 MGT 01-02-03-12 (vacías). " u="1"/>
        <s v="Midland" u="1"/>
        <s v="TT 05 - 83 - 85 -MB 03 (Crudo)" u="1"/>
        <s v="TT 11 - 57 - 15 (Crudo) " u="1"/>
        <s v="TT 61 (Cargada) MGB 03-02 (Vacia)" u="1"/>
        <s v="MAG 4 - 16 (Cont) " u="1"/>
        <s v="MGB 04 (Vacías)" u="1"/>
        <s v="TGS 01 - 02 -03" u="1"/>
        <s v="TGS 03" u="1"/>
        <s v="TTK 66-56-18 (Midland)" u="1"/>
        <s v=" TTK 63 - 83 - 85 (Nafta)" u="1"/>
        <s v="MAG 04 - 16 - 11" u="1"/>
        <s v="TT 05 - 02 - MGT 06 (Crudo)T 69 - 72 - 73 (Crudo)" u="1"/>
        <s v="TT16-85-MB11(crudo)" u="1"/>
        <s v="TT 13– 19 – 21 (Crudo) TT 05-18-63 (crudo) " u="1"/>
        <s v="MAG 11-04-16 " u="1"/>
        <s v="TTK 02 - 57 - 67 (Vacías) " u="1"/>
        <s v="TTK 12-68 MGT 04 (vacías) " u="1"/>
        <s v="TTK 17 MGT 03-12 (vacías) " u="1"/>
        <s v="TTK 51-72 MGT 11 (vacías) " u="1"/>
        <s v="TTK 53 MGT 05-08 (vacías) " u="1"/>
        <s v="TTK 57 – 83 - 66 (Vacías) " u="1"/>
        <s v="TTK 58 - 69 - 07 (Vacías) " u="1"/>
        <s v="TTK 58 -62-MB 05 (Vacías) " u="1"/>
        <s v="TTK 66-58 MGT 11 (vacías) " u="1"/>
        <s v="TTK 71 MGT 02-07 (vacías) " u="1"/>
        <s v="TTK 72-57 MGT 04 (vacías) " u="1"/>
        <s v="MB 11 (vacia) - TT 57 - 83(Nafta)" u="1"/>
        <s v="TT13-20-07-64-54-82 (Crudo)" u="1"/>
        <s v="MAG 08 - 26 (vacás)" u="1"/>
        <s v="MAG04-08-09-16" u="1"/>
        <s v="TT 51 - 58 - 60 (Crudo)" u="1"/>
        <s v="TT 54 - 71 - 60 (Crudo)" u="1"/>
        <s v="TTK 63 - 82 - 85 - 83 (Nafta) + MGB 03 (Vacía)" u="1"/>
        <s v="MAG 31-02(trigo)" u="1"/>
        <s v="TT 50 - 52 - 59 (Traliviano)" u="1"/>
        <s v="TTK 63 - 83 - 85 (Nafta)" u="1"/>
        <s v="TT 04-11-19 (Crudo) TGS 03(OGR)" u="1"/>
        <s v="TT 04 – 14 - 17-21-64 -85 (crudo)." u="1"/>
        <s v="MAG 04-11-09-17(Cont) TT 69 MGB 04 (Vacia)" u="1"/>
        <s v="MGB 06-07 TTK 02-55-08-62 (Crudo)" u="1"/>
        <s v="MAG 38 - TTK 13-54-60 (Traliviano)" u="1"/>
        <s v="TT 05 - 02 - MGT 06 (Crudo)T 69 - 72 - 73 (Crudo) " u="1"/>
        <s v="TGS 01" u="1"/>
        <s v="MAG 04-16-26(cont). " u="1"/>
        <s v="MAG 13-14-19-30 (Vacías)" u="1"/>
        <s v="MAG 14-19-33-07 (Vacías)" u="1"/>
        <s v="TTK 58-66 (Nafta) – TTK 19-54-57-82 (vacías) " u="1"/>
        <s v="TT 85 - 72 - 11 - 16 - 50 - 59 - 57 MGB 08(Crudo)" u="1"/>
        <s v="MGB 06-08-04 (Vacia) MAG 34 (Cont)" u="1"/>
        <s v="MAG 04-16-17-34-08 (Cont.) " u="1"/>
        <s v="TK 07 -13-20-18-55-73 (Vacías) &quot;" u="1"/>
        <s v="TT 73-72-19 (crudo)." u="1"/>
        <s v="TTK 66-67 (nafta) TTK 52(vacío)" u="1"/>
        <s v="TT 56 - 85 - MB 05 (Crudo)TT 08 - 16 (Crudo) TG 01 (OGR) + R Calamar" u="1"/>
        <s v="MAG 04-16-34 (conts) " u="1"/>
        <s v="MAG 09-26-39 (conts) " u="1"/>
        <s v="TTK 52-57-50 (Crudo)" u="1"/>
        <s v="TTK 66-67-80 (Crudo)" u="1"/>
        <s v="TT 58 (Nafta) TT 50-MGB 07(Vacia)" u="1"/>
        <s v="MGB -08-04 TT 04-71 (Vacia) - TT 50-63-MB07(Crudo)" u="1"/>
        <s v="TT 50 - 18 - 52 (Crudo)" u="1"/>
        <s v="TT 53 - 67 - 72 (Crudo)" u="1"/>
        <s v="MAGFUEL #2" u="1"/>
        <s v="TT 20 – 54 – 60 (crudo) " u="1"/>
        <s v="TT 12 - MGT 07 - 05 (midland)" u="1"/>
        <s v="TT 55 - 65 - 83 - 62 - 57 - MGT 11 (Crudo)" u="1"/>
        <s v="TTK 08-69 MGT 02 (crudo) + RR Banco " u="1"/>
        <s v="TTK 05-22 MGT 07 (vacías) + RR San Pablo" u="1"/>
        <s v="TT05-14(midland)" u="1"/>
        <s v="TTK 51-55 (vacio)" u="1"/>
        <s v="TT 14 (vacia) MGB 04(Crudo) MAG 11(Cont)" u="1"/>
        <s v="TTK 04-19 (nafta) MB 08 (vacío) " u="1"/>
        <s v="MAG 01-18 -19 - 21(Bobinas)" u="1"/>
        <s v="TT 50 - 67 - 83 (Crudo)" u="1"/>
        <s v="TT 52 - 62 - 83 (Crudo)" u="1"/>
        <s v="MAG 05-04-16-34 (Cont) - MAG 26 (vacía)" u="1"/>
        <s v="TT 56-65-52 MGB 01-03-08 (Crudo) TT 14-69 (Vacias)" u="1"/>
        <s v="TTK 71 MGT 02-07 (vacías)." u="1"/>
        <s v="MAG 16 (Cont)- MAG 22 (Tuberia) MAG 05 - 17 - 26 - 34 (vacías)" u="1"/>
        <s v="MAG 04 - 11 - 16 (Cont) " u="1"/>
        <s v="TT 85 - 72 -  MGB 08 (Crudo)" u="1"/>
        <s v="MAG 12 - MB 07 - 11 TT 63 (Crudo)" u="1"/>
        <s v="TT57-83-MB11(crudo)" u="1"/>
        <s v="TT 56-16-67-17 (Crudo) " u="1"/>
        <s v="TT 02 - 08 - 12 - 16 - 55 (Crudo) + TG 01 (OGR)" u="1"/>
        <s v="MAG 04 -11- 16 (Cont)" u="1"/>
        <s v="TTK 13 -67-57(vacías) –TT 12 - 69 -72 (nafta) " u="1"/>
        <s v="TT 54 – 60- MB 04 (Crudo) TT11 – 57 – 83 (Crudo) " u="1"/>
        <s v="MAG 28-03(trigo)" u="1"/>
        <s v="TTK 14 (Cargada) - MAG 08 (Vacía)" u="1"/>
        <s v="TT 59-56 (Crudo) MAG 34(Cont)TTK 17-55-57 (vacías) " u="1"/>
        <s v="TTK 69 - 14  MB 03(Vacías) TTK 52 MB 01  (Crudo) - TT 63- 68 -82 - 83 - 85  (Nafta)" u="1"/>
        <s v="TT 67 - 65 - 83 - 03 - 20 - 21 - MGT 11 (Vacías)" u="1"/>
        <s v="TTK 01 (Gsl) + TTK 71-69 (Diesel)" u="1"/>
        <s v="TT 02 - 85 (Midland) - TT 69 (Nafta)" u="1"/>
        <s v="MAG 15-19-21(Tuberia)" u="1"/>
        <s v="TTK 56-62-68-04-67 (vacías) + R Capulco" u="1"/>
        <s v="MAG 04 - 16 - 39" u="1"/>
        <s v="TT 50 (Vacía) - 52  (Traliviano)- 59 (Vacía)" u="1"/>
        <s v="TT 13-54-60(Midland)" u="1"/>
        <s v="TT 16 - 55 (Midland)" u="1"/>
        <s v="TT 18 - 56 (Midland)" u="1"/>
        <s v="TT 55 - 57 - 15 (Crudo)" u="1"/>
        <s v="TT 55 – 62 - 65 (Crudo)" u="1"/>
        <s v="TT 64 - 54 - 21 (Crudo)" u="1"/>
        <s v="TT 14 (v) - TT63MB12(crudo)" u="1"/>
        <s v="TT09-51(vacía)" u="1"/>
        <s v="TTK 04-63-64-17-57-68 (Crudo)" u="1"/>
        <s v="TGS 1 (Isobutano) - TGS 2 (Isobutano)" u="1"/>
        <s v="TT  22 - 69 - 72 (vacio) + MAG 34 (Cont) + TT 20-83-03 (Crudo)" u="1"/>
        <s v="MAG 03 (Maiz) " u="1"/>
        <s v="Navegando escotero hacia el KM 596 RM" u="1"/>
        <s v="Remolcado por el RR Barranquilla" u="1"/>
        <s v=" MAG 02-23 (Vacio) - MAG 06-31 (Trigo)" u="1"/>
        <s v="TT 19 - TT 21 - TT 14 (Crudo)_x000a_MGT 03-04 (vacías)_x000a_" u="1"/>
        <s v="TTK 05-11-85(Midland) TT 69 (Nafta)- TT 22 + MGB 03 (Vacío)  " u="1"/>
        <s v="TT 55 - 51 - 66 (Crudo)" u="1"/>
        <s v="TT 69 - 71 - 82 (Crudo)" u="1"/>
        <s v="MAG 02-06-23-31(trigo)" u="1"/>
        <s v="TT 67 - 11 - 65 - 85 - 16 - MGT 11 (Crudo)" u="1"/>
        <s v="TTK 69 - 14 (Vacías) TTK 52 - 56 - 64  MB 01 -03 - 08  (Crudo) - TT  68 -82 (Nafta) " u="1"/>
        <s v="TT 72-14-05 (Midland)" u="1"/>
        <s v="TGS 01 (OGR) - TT 16 - 55 (Crudo)" u="1"/>
        <s v="TTK 55-08-65 (Vacia)" u="1"/>
        <s v="MAG 12 (cont)- MAG 03(Maiz) - MAG 09 (Vacia) " u="1"/>
        <s v="MAG 13 (Bobinas)- 25 (vacio)" u="1"/>
        <s v="MGB 03 TTK 69-22 (Crudo)" u="1"/>
        <s v="TGS 02 (Isobutano). " u="1"/>
        <s v="TTK 62 MGB 12 (Crudo) TT 51 (Vacia)" u="1"/>
        <s v="TT 53-56 MGB 07 (Crudo)" u="1"/>
        <s v="TT 56 - 53 - 17 (Crudo)" u="1"/>
        <s v="TT 67 - 04 - 83 (Crudo)" u="1"/>
        <s v="TT 69 - 72 - 73 (Crudo)" u="1"/>
        <s v="TT 13  - 18 - 21 (Crudo)" u="1"/>
        <s v="TT 62 TT 18-53- MGT 11 (vacías) " u="1"/>
        <s v="MAG 04 – 16 - 34 (Cont)  " u="1"/>
        <s v="TT 59 - 68 - 72 (Nafta)" u="1"/>
        <s v=" TTK 12-18-21 MGT 01-02-03-12 (vacías). + MAG 34(cont)+ R Calamar" u="1"/>
        <s v="TTK 53-80-08-71 MGB 11-02-12-05 (Vacia)" u="1"/>
        <s v="TT 72 - 73 - 80 (Crudo)" u="1"/>
        <s v="TT 80 - 03 - 16 (Crudo) + RR Capulco" u="1"/>
        <s v="TT  52 - 80 MGT  07 (Vacías)" u="1"/>
        <s v="TTK 05-72 - 69 – 02 - MGT 06 (crudo)" u="1"/>
        <s v="TT 73 - 08 - 82 - MGT 03 - 01 - 02 - 12 (Vacías)" u="1"/>
        <s v="TT  61  – 73 (Nafta)" u="1"/>
        <s v="TTK 68 - 16 - 03 (Crudo)" u="1"/>
        <s v="TTK 12-20-58 (crudo)     " u="1"/>
        <s v="TT 54 - 60 - MB 04 (Crudo)" u="1"/>
        <s v="MAG 05 - 09 - 39" u="1"/>
        <s v="TT 56 - 85 - MB 05 (Crudo)" u="1"/>
        <s v="TTK 53 MGT 08 (crudo) " u="1"/>
        <s v="TTK 54-60- 82 (crudo) " u="1"/>
        <s v="TT 07 - 63 - MB 11 (Vacio)" u="1"/>
        <s v="TTK  04 –  85 - 65 MGT 02 - 06 – 12 (Vacías) " u="1"/>
        <s v="Navegando escotero hacia el KM 599 RM" u="1"/>
        <s v="TT 11 - 62 (Nafta) - MAG 11 (Cont)" u="1"/>
        <s v="TTK 13-20 (vacías)" u="1"/>
        <s v="MGT 03 – 08 + TT 71 (Midland) " u="1"/>
        <s v="MGT 05 – 07 - TT 12 (Midland) " u="1"/>
        <s v="TGS 01 " u="1"/>
        <s v="TTK 51-14" u="1"/>
        <s v="TT 02 - MB 04 - 06 (Vacio)" u="1"/>
        <s v="TT 07 - 50 - 57 - 71 (nafta)" u="1"/>
        <s v="TT 80 - 03 - 16 - 64 (Crudo) " u="1"/>
        <s v="TTK 53-80-08-71 MGB 05 (Vacia)" u="1"/>
        <s v="TT 08 - MGB 05 – 08 (crudo) " u="1"/>
        <s v="MGB 06-08-04 TT 04-71 (Vacia) - TT 50-63-MB07(Crudo)" u="1"/>
        <s v="TGS 02 (Isobutano) MGT 07- TT 12 (vacías) " u="1"/>
        <s v="TTK 69 (Nafta) - MGB 04 - 06 (Vacías)" u="1"/>
        <s v="TT 21 – 22 – 71 – 80 – 82 – MGT 01(Crudo) " u="1"/>
        <s v="TT 71 - 72 - 02 (Crudo)" u="1"/>
        <s v="TT 71 - 80 - 82 (crudo)" u="1"/>
        <s v="TT 50 - 52 - 59(Traliviano)" u="1"/>
        <s v="TT 68 - 64 - 11 (Nafta)" u="1"/>
        <s v="MAG 03-31(Yeso)" u="1"/>
        <s v="TTK 56-62 (nafta) MGT 03 (Vacía) " u="1"/>
        <s v="TT11-66-MB03(crudo)" u="1"/>
        <s v="TT67 - 85 - 17 (Nafta)" u="1"/>
        <s v="Tragas 01 (vacia) Tragas  02 - 03 (isobutano) " u="1"/>
        <s v="MB 08 - TT 03 - 20 (Vacio)" u="1"/>
        <s v="Tragas 1" u="1"/>
        <s v="TT 73 - 19 - 63 (Crudo)" u="1"/>
        <s v="MGT 12-06-01 (Crudo) TTK 05-65-80 (Crudo)" u="1"/>
        <s v="TGS 03(OGR)" u="1"/>
        <s v="MB 06 - TT 02 - 73 (Vacio)" u="1"/>
        <s v="TTK 05-85 + MGB 06-07-08 + MAG 05" u="1"/>
        <s v="TT 56 - 53 - 16 (Nafta)" u="1"/>
        <s v="TT 69 - 72 - 12 (Nafta)" u="1"/>
        <s v="Magfuel-1" u="1"/>
        <s v="MAG 04 - 08 - 16 (cont) TT 69 (vacia) " u="1"/>
        <s v="MAG 04 - 11 - 16 (Cont) +R Pto. Triunfo" u="1"/>
        <s v="TT 11 - 15 (vacias) " u="1"/>
        <s v="TT 16-67-85" u="1"/>
        <s v="TTK 68-03-17-16 (Nafta) MGB 01(Vacia)" u="1"/>
        <s v="TT 82 - 20 - 80 (Crudo)" u="1"/>
        <s v="TT03-07-19-20-63-73 (midland)" u="1"/>
        <s v="MAG 04-09-39 (Cont)" u="1"/>
        <s v="TT 52 - 80 - 67 (Nafta)" u="1"/>
        <s v="TT08-22-82 (Crudo) – MAG 23 (vacías) " u="1"/>
        <s v="TT 16 - 03 - 53 - 64 - 51  MGT 07 (Crudo)" u="1"/>
        <s v="TT 63 - 73 - 19 (Midland)" u="1"/>
        <s v="TT03-20-MB04 (crudo)" u="1"/>
        <s v="MAG 01-07-13-14-18-19-30-33 (Vacías)" u="1"/>
        <s v="MAG 18 - 25 (Coal) - MAG 33 (Vacías)" u="1"/>
        <s v="MAG 34 (Vacia) + TT 82 - 51 (Vacías)" u="1"/>
        <s v="TT 63 - 5 - MGT 07 (Crudo)" u="1"/>
        <s v="TT 07 - MB 11(Crudo) MAG 12 (Cont)" u="1"/>
        <s v="TTK 13-20 (vacías) " u="1"/>
        <s v="TTK 20-64 (Vacías) " u="1"/>
        <s v="MAG 04 - 16 (Cont.)" u="1"/>
        <s v="MAG 08 - 26 (Cont.)" u="1"/>
        <s v="Asistiendo aligerameinto " u="1"/>
        <s v="MAG 11 (vacía)" u="1"/>
        <s v="TT 64 - 08-22 - 14 – 21 - 85 (nafta)" u="1"/>
        <s v="TT 72 - 22 - 12 - MGT 08 - 06 - 04 (Crudo)" u="1"/>
        <s v="TT 57 - 62 - 59 - 83 - 55 - MGT 05 (Crudo) - TGS 03 (OGR)" u="1"/>
        <s v="MB04-05-08(crudo)" u="1"/>
        <s v="TT 61 (Cargada) + MAG 18 - 25 (Vacía)" u="1"/>
        <s v="MGB 08 - 11 - 05 (Vacías)" u="1"/>
        <s v="TT 19 – MGB 02 – 11 (Crudo) " u="1"/>
        <s v="MAG 04 - 05 - 16 (Cont.) + TT 69 (vacía)" u="1"/>
        <s v="MAG 04 – 16 (Cont) – 11 – TT 21 (vacías) + RR Mompox " u="1"/>
        <s v="TT 12 – 59 MB 07 – 12 (Vacía)." u="1"/>
        <s v="TTK 05 - TT 11 (Nafta) MB  07 (vacías) " u="1"/>
        <s v="TTK 11-53 - 57-72 MGT 04 - 08 (Vacías) " u="1"/>
        <s v="TTK 58-66 - 16-51-72 - MGT 11 (vacías) " u="1"/>
        <s v="TT 56-16-67-17 (Crudo) TT 80-MGB 03(Vacía)" u="1"/>
        <s v="TTK 17-53-56-58-64-68+TGs 02 (Vacías) " u="1"/>
        <s v="TT 55-62-73-83 (Tramedio) TT 11-66-80(Tramedio) + MAG 09(Iso)" u="1"/>
        <s v="MB 01 - 12  TT 21" u="1"/>
        <s v="TT 56 – 53 - 17 (Crudo) " u="1"/>
        <s v="TTK 19-52-63-73-MB 01 (Crudo) – TGS 03 (OGR) " u="1"/>
        <s v="TT 01 (Cargada) - TT 14 (Vacía)" u="1"/>
        <s v="TT 56 - 66 - 59 (Nafta)" u="1"/>
        <s v="TGS 03 (vacía)" u="1"/>
        <s v="MGT 02-06 (crudo) TT 65 (crudo) " u="1"/>
        <s v="TT 54-60-13 (Traliviano) MAG 38" u="1"/>
        <s v="TTK 66-73-59-58-19 (Nafta) MGB 02-11-05 (Vacias)" u="1"/>
        <s v="TT 61-04-15 (Vacia)" u="1"/>
        <s v="MAG 04 - 16 (Cont) + MAG 03 (Vacía) + RR Capulco + Ponton" u="1"/>
        <s v="TT67 - 85 - 16 (Nafta)" u="1"/>
        <s v="TT 12 - 71 MGT 03 (midland)" u="1"/>
        <s v="MGT 05-08-12 (vacías) " u="1"/>
        <s v="TGS 02 TT 58 – 68 (Vacio)" u="1"/>
        <s v="TT 65-67-16 (Vacia)" u="1"/>
        <s v=" TTK 56-62-MGT 03 (vacías) " u="1"/>
        <s v="TT83 - TT 55 - TT 73 - TT 62 (Tramedio)" u="1"/>
        <s v="TT 83 - 62 - 68 - 73 - 53 (Crudo) MGB 07 (crudo) " u="1"/>
        <s v="TT 54 (tralv)" u="1"/>
        <s v="MGB 02-04-11 + TTK 55-58 (vacías) " u="1"/>
        <s v="TT 07 - 22 - 56 - 67 - 85 (Vacio)" u="1"/>
        <s v="TT 82 (Crudo) - TT 10 - 15 (Vacias)" u="1"/>
        <s v="TTK 21 – 13 – 18 - TT 71 - MGT 02 (vacías) " u="1"/>
        <s v="TTK 85 - 65 (crudo) MGT 02 - 06 – 01 - 12 (crudo) + el RR Magangue " u="1"/>
        <s v="MAG 13-14-19-30 " u="1"/>
        <s v="MAG 04 - 16 (Cont.) – 05 – 09 – 26 (vacías.)" u="1"/>
        <s v="MAG 16-04 (Cont) TT 21(Vacia)" u="1"/>
        <s v="Mag Fuel 2" u="1"/>
        <s v="TT 64-54-13" u="1"/>
        <s v="TTK 08-63-MB05-04 (vacías)" u="1"/>
        <s v="TT 71 -14 - MGT 02 (Crudo) " u="1"/>
        <s v="TT 73  - MGT 03 - 01 - (Vacías)" u="1"/>
        <s v="TT 11-20 (Vacias)" u="1"/>
        <s v="TTK 03-64-65 + TTK 51-55-62 (crudo). + R Soledad" u="1"/>
        <s v="TT 65 - 53 - MGT 06 (Crudo)" u="1"/>
        <s v="MAG 04 (Cont) MAG 05 - 16 (vacias) MAG 03-23 (Maiz)" u="1"/>
        <s v="MGT 04 TT 07 - 82 (crudo) " u="1"/>
        <s v="TT 22 – 82 – MGT 04 (Crudo) " u="1"/>
        <s v="TGS01-02-03 (butano)" u="1"/>
        <s v="TTK 57(Nafta) + TT 71(Midland)" u="1"/>
        <s v="MGT 06 TTK 65 – 85 (Vacías) " u="1"/>
        <s v="TTK 04 -11-16-65-67-85-MB 11 (Vacío) + RR Magangue" u="1"/>
        <s v="TT 63 - 03 – 80 (Crudo) " u="1"/>
        <s v="TT 63-71 MGT 07 (crudo) " u="1"/>
        <s v="TT 65 - 07 - 56 (Crudo) " u="1"/>
        <s v=" TTK 12-18-21 MGT 01-02-03-12 (vacías). + MAG 34(cont)" u="1"/>
        <s v="TTK 08-22 (nafta) TTK 71 MGT 12 – 05 (Vacías)" u="1"/>
        <s v="TT 19-68-09-01-14 MGB 08-03 (Vacias)" u="1"/>
        <s v="TTK 04-10-11-21-55-MGT 01-03(vacía) " u="1"/>
        <s v="TT50-52-59(vacías)" u="1"/>
        <s v="TT 59-56 (Crudo) MAG 34(Cont)" u="1"/>
        <s v="TT 51 - TT 53 - MGT 07 (Crudo)" u="1"/>
        <s v="MAG 04-12-16 (Cont) - MAG 15 - 21 (Vacio) + R Calamar" u="1"/>
        <s v="MAG 04 - 16 (Cont) - MB 01(Vacia)" u="1"/>
        <s v="TTK 20-51 MGT 04  (vacías) " u="1"/>
        <s v="TT 66 - MGT 05 - 07 + RR Calamar" u="1"/>
        <s v="TTK 58-59-73-66-19 MGB 02-05-11 (Crudo)" u="1"/>
        <s v="TGS" u="1"/>
        <s v="TT 59 (Crudo) - TT 61 - 09 (Vacías)" u="1"/>
        <s v="TT 52 – 19 – 07 (Nafta) " u="1"/>
        <s v="TT 53 – 10 – 03 (Nafta) " u="1"/>
        <s v="MAG 04 - 16 (Conts) " u="1"/>
        <s v="TT 66 - 08 - MGT 07 (Crudo)" u="1"/>
        <s v="TTK 02-16 MGT 05 (vacías" u="1"/>
        <s v="TTK 04 (Vacio) " u="1"/>
        <s v="TTK 50-17-59 (Crudo)" u="1"/>
        <s v="TTK 02-07-13 (Traliviano) " u="1"/>
        <s v="TTK 09 - 61 (Vacías) + TT 59 (Crudo)" u="1"/>
        <s v="TT 64 (tralv)" u="1"/>
        <s v="MAG 06-23(trigo)" u="1"/>
        <s v="MAG 16 - 04 (Cont)- MAG 22 (Tuberia) MAG 05 - 17 - 26 - 34 (vacías)" u="1"/>
        <s v="TTK 08-22 (nafta) TTK 71 MGT 12 – 05 (Vacías) " u="1"/>
        <s v="TT 14 - 71 MB 02 (Vacia) " u="1"/>
        <s v="TT 14 - 19 - 21 - 54 - 85 (Vacio)" u="1"/>
        <s v="TT 22 – 82 – MGT 04 (Crudo) TTK 57 – 83 (Vacías) " u="1"/>
        <s v="TT 82 - 54 - 19 (Crudo)" u="1"/>
        <s v="TT 85 - 72 - 15 MGT 11 (Vacías)" u="1"/>
        <s v="TT 71-52-07 MGB 01 (Midland) TT 57 (Nafta)" u="1"/>
        <s v="MAG 05-04-16 (Vacio)" u="1"/>
        <s v="TGS 1 - 2 - 3" u="1"/>
        <s v="TT 50-52-59(Traliviano). " u="1"/>
        <s v="TT 69 - TT 53 - MGT 03 (Crudo)" u="1"/>
        <s v="TTK 03-10-17-53-67-83 (Nafta)" u="1"/>
        <s v="TTK 03-17-16-85-63-83 (Nafta)" u="1"/>
        <s v="MAG 12(Cont) - MB 07 - 11 TT 63 (Crudo)" u="1"/>
        <s v="TTK 63 - 82 - 85 - 83 (Nafta) + MGB 03 (Vacía) " u="1"/>
        <s v="MAG 04 - 16 - 17 (Cont)" u="1"/>
        <s v="MAG 03 (maiz) - 23 (maíz)" u="1"/>
        <s v="TT 13 - 54 - 60 (Traliviano) - MAG 38" u="1"/>
        <s v="MPB con novedad fuga " u="1"/>
        <s v="Disponible" u="1"/>
        <s v="TT12-22-82 (nafta) " u="1"/>
        <s v="TTK  69 (Cargada)  - TTK 12 - 64 (Traiviano)" u="1"/>
        <s v="TTK  69 (Cargada)  - TTK 60 - 54 (Traiviano)" u="1"/>
        <s v="MB5-TT18-02 (vacías) " u="1"/>
        <s v="TT 73-59-66-72-58 (Nafta) -TT51 (gasolina)" u="1"/>
        <s v="TT 66 - 67 (Nafta) - TT 52 (Vacías)" u="1"/>
        <s v="TTK 57-07-04-65-71 (Crudo) + MAG 34(Cont) + RR San Pablo" u="1"/>
        <s v="TGS 01-02-03 (ISOBUTANO)" u="1"/>
        <s v="TTK 18-55- 60 - 73 (crudo)+ TGS 03 (vacía) + MAG 38 (Inertizadora)." u="1"/>
        <s v="TGS 01-02-03(vacías)" u="1"/>
        <s v="TT 04-11-19-83 (Crudo)" u="1"/>
        <s v=" TT 02-05-69-72 MB 06 (Crudo)-MAG 39(Cont) " u="1"/>
        <s v="MAG 04 - 16 (Cont) + MAG 05 - 09 - 26 (Vacías)" u="1"/>
        <s v="TT 50 - 53 - 62 - 51 - 71 (Crudo) - TG 01 (OGR)" u="1"/>
        <s v=" TT 08 - 55 MB 07 (Crudo)" u="1"/>
        <s v="TT19-63-73" u="1"/>
        <s v="TT 14 - 54 - 85 (Vacía)" u="1"/>
        <s v="TTK 08-15 - 11-57 MGT 05 - 08 (crudo) " u="1"/>
        <s v="TTK 11-53 - 57-72 MGT 04 - 08 (crudo) " u="1"/>
        <s v="TTK 58-66 - 16-51-72 - MGT 11 (crudo) " u="1"/>
        <s v="TT 69 - 56 - 65 - 58 - 20 - 07 (Vaías)" u="1"/>
        <s v="MAG 09 (conts) TTK 65 MGT 06 (crudo) " u="1"/>
        <s v="TT 54 - 60 MB 04 (Vacio)" u="1"/>
        <s v="TTK 01" u="1"/>
        <s v="TTK 18-22-65  (vacías)" u="1"/>
        <s v="TT11-20-73-57-MB01(crudo)+TT10 (vacía)" u="1"/>
        <s v="MAG 04 - 16 - 12 (Cont) - TT 14  - 51 + MAG 31 - 03 - 19 (Vacías)" u="1"/>
        <s v="TGS 1 - 2 - 3 (Isobutano)" u="1"/>
        <s v="TT60-64" u="1"/>
        <s v="TT 58-62- MGB 05 (Crudo)" u="1"/>
        <s v="MAG 05 – 34 (Cont.) TT 17 (Crudo) " u="1"/>
        <s v="TGS 03 (vacía) – TT 67 (Midland) " u="1"/>
        <s v="TGS01 (OGR) + TT 71 – 68 – 52 – 19 – 07 (Crudo) + RR Calamar " u="1"/>
        <s v="TT 03-83 (Vacias) TT 85 (Nafta)" u="1"/>
        <s v="MAG 04-16-12 (Cont)" u="1"/>
        <s v="MB 05-08-04-12-03 + TT 68 (Crudo)" u="1"/>
        <s v="MB 02 - TT 08 - 18 - 20 (Vacías)-TT 14(Midland)" u="1"/>
        <s v="TTK 08 -15 - 11 - 57 MGT 08 - 05 (Vacías)" u="1"/>
        <s v="TTK 11-55-62-64-65- (nafta) - 66 (Vacías)" u="1"/>
        <s v="TT 71-68 (Crudo) TGS 01 (OGR)" u="1"/>
        <s v="TT 71-68 (Cruso) TGS 01 (OGR)" u="1"/>
        <s v="TTK 20-82 MB 02 (crudo) MAG 08 (cont) " u="1"/>
        <s v="TT 15 (crudo) MGB 04 - 03 (crudo). TTK 13 -67-57(vacías)" u="1"/>
        <s v="TT60-64(vacías)" u="1"/>
        <s v="MGB 04-06 (Vacias) TT 69 (Nafta)" u="1"/>
        <s v="MAG 18-25(carb) – TTK 83-85-63-82-MB03 (crudo) – TTK 61 (vacía)" u="1"/>
        <s v="TTK 17 - 11 -  64 (Crudo)" u="1"/>
        <s v=" TT 19-50-58-63-MB 11 -07(Crudo)- MAG 12 (Cont)+ R Barrancabermeja" u="1"/>
        <s v="TT 55-62-73-83 (Tramedio)" u="1"/>
        <s v="TT 55-83-50-57 (Crudo)" u="1"/>
        <s v="TT 13-54 (traliviano)" u="1"/>
        <s v="MAG 18 - 25 - 33  (Coal)" u="1"/>
        <s v="TT 01 (cargada)" u="1"/>
        <s v="TT 60-13" u="1"/>
        <s v="MAG 18 (Coal)" u="1"/>
        <s v="TTK 07-08-50-52-57-71 (nafta) - MAG 28-03 (trigo)" u="1"/>
        <s v="TTK 08-19-51 (Crudo) TTK 14-15-22 (Crudo) + RR La Gloria de arete" u="1"/>
        <s v="TTK 11-16-85 (Vacía) - TTK 66-67-80(Crudo)_x000a_" u="1"/>
        <s v="MB 07 + TT 64-03 (Vacias)" u="1"/>
        <s v="TT 50 – 52 – 59 – 66 – MB 05 - 07 (Crudo)" u="1"/>
        <s v="TTK 04 -11-85 MB 11 (Vacío) TT 73-02 MB 06(Crudo)" u="1"/>
        <s v="MAG 04 - 08 - 09 - 16 (cont)" u="1"/>
        <s v="TT 73-02-03-20 MB 06-04 (Crudo)" u="1"/>
        <s v="TTK 11 - 53 -57-72 MGT 04 - 08 (crudo) " u="1"/>
        <s v="TTK 16-17 - 19 - 68 MB 05 - 08 (crudo) " u="1"/>
        <s v="TT 59-55-57 TGS 03 (Vacio)" u="1"/>
        <s v="MAG 03 (Vacía). TTK 51-58-60-55-07-82 (crudo) " u="1"/>
        <s v="MAG 28-06-02-31(Vacias) + Ponton" u="1"/>
        <s v="TG 02 (OGR)" u="1"/>
        <s v=" TTK 54-57-82 (vacías) " u="1"/>
        <s v="TT 07 - 22 - 69 - 72 - TG 03 (vacio) + MAG 34 (Cont)" u="1"/>
        <s v="TT 05 - 16 - 85 - TG 01 (Vacio)" u="1"/>
        <s v="TT 13  (Vacía) + MAG 38 (inertizadora)" u="1"/>
        <s v="TGS 1 (Isobutano)" u="1"/>
        <s v="TGS 2 (Isobutano)" u="1"/>
        <s v="TT 03-17-66-67-50-83 (Crudo)" u="1"/>
        <s v="TT 04-17-21-67-68-83 (crudo)" u="1"/>
        <s v="TTK 02-13-65 (crudo)." u="1"/>
        <s v="MAG 25 - 33" u="1"/>
        <s v="TT 65 - 03 MGT 07 (Crudo)" u="1"/>
        <s v="TT 16(Crudo) - TGS 02 (OGR)" u="1"/>
        <s v="MAG  11 (Vacía)" u="1"/>
        <s v="TT03-56-59(vacías)" u="1"/>
        <s v="TTK 72-59-66-19-08 (Vacia) MAG 17 (Cont)" u="1"/>
        <s v="MB 01 TT 62-12 (Crudo)" u="1"/>
        <s v="MAG 03(Maiz) - 23 (cargando)" u="1"/>
        <s v="TT11-20-73-57-MB01(crudo)" u="1"/>
        <s v="MGT 06 (Vacía) + TTK 02—69 (Nafta) " u="1"/>
        <s v="TTK 03-17-68 + 16 MGB 01 (S) + TTK 09-10 (Vacía)" u="1"/>
        <s v="MAG 04 - 16 (Vacio)" u="1"/>
        <s v="MAG 17 - 26 (vacio)" u="1"/>
        <s v="MAG 01-19 -22(Bobinas)" u="1"/>
        <s v="MAG 04-16 (Cont) " u="1"/>
        <s v="MAG 19-33(Bobinas) MAG 07 - 14 (Vacio)" u="1"/>
        <s v="TTK 05 – 20 – 22 - MB 05 – 08 - 12 (vacías). MAG 03-23 (Maiz)" u="1"/>
        <s v="TT 04 – 14 – 17 – 21 – 85 - 05 (vacías) " u="1"/>
        <s v="TTK 20-65-82 MB 02-11 (Crudo) MAG 08(Cont)  " u="1"/>
        <s v="TTK 07 – 19 - 52 (Crudo) + RR Magangue " u="1"/>
        <s v="TK 55-62-65 (nafta)" u="1"/>
        <s v="MGT 12 -06 -01-TTK 05 - 65-80 (vacías)" u="1"/>
        <s v="TT  02 - 69 - MGT 06 (Crudo)" u="1"/>
        <s v="TT 73-59-66-72-58 (Nafta) " u="1"/>
        <s v="TT 03 - 07- 73 " u="1"/>
        <s v="TT 02 - 07 - 08 - 22 - 69 MB 06 (Crudo)" u="1"/>
        <s v="MAG 04-16-17-34" u="1"/>
        <s v="MAG 33 (Vacia) TT 09-10 (Cargadas)" u="1"/>
        <s v="MAG 30 - 07 - 19 - 13 - 33 - 14 (Bobinas)" u="1"/>
        <s v="TT 17 - 58 (Crudo)" u="1"/>
        <s v="TT 19 - 58 (crudo)" u="1"/>
        <s v="MB 02 - TT 08 - 18 - 20 (Vacías)-TT 14(Crudo)" u="1"/>
        <s v="MAG 04-16 (Cont.) MAG 17-34-08 (Vacia)" u="1"/>
        <s v="MAG 02-06-23-31(trigo) + MB 04-06(vacías)" u="1"/>
        <s v="TT50-52-59" u="1"/>
        <s v="TTK 59 - 58 - 66 (Nafta)" u="1"/>
        <s v="TTK 55-57-59-62-83-MB 05-TGS 03 (vacías) + TT 04 - 11 (Vacías)" u="1"/>
        <s v="TT 80-53-56 (Nafta) MGB 07 (Vacia) + MAG 17 (Cont)" u="1"/>
        <s v="TTK 17- 64-82 (vacías) " u="1"/>
        <s v="TTK 04-15-21 (Diésel) + MAG 18-25-33 (Vacías) + TT 51-14 (Gsl)" u="1"/>
        <s v="MAG 04 - 16 (cont) TTK 69 (vacia) + RR Soleda " u="1"/>
        <s v="TTK 21-14-19 (Vacía) " u="1"/>
        <s v="TT 80(Tramedio) + MAG 09(Iso) + TT 16(Nafta)" u="1"/>
        <s v="MAGFUEL 1" u="1"/>
        <s v="TTK 20 – 19 - 63 (Midland) " u="1"/>
        <s v="MAG 04-11 (Cont)" u="1"/>
        <s v="MAG 08 - 26 (Cont.) + RR Calamar" u="1"/>
        <s v="TTK 14 (Vacía) - MAG 33 (Coal)" u="1"/>
        <s v="TTK 17 - 57 - MGT 06 (crudo) + TTK 05-22-60-67 " u="1"/>
        <s v="TTK 56-62-65 (Nafta) MGT 03 – 06 (vacías) " u="1"/>
        <s v=" TTK 55-57-17-01-09  (Vacías) -TT 03-20-68(crudo)" u="1"/>
        <s v="TTK 66-59-52 (Crudo)" u="1"/>
        <s v="TTK 12 (nafta) TTK 51-55-62-66 MGT 01 (Vacías) + RR Soledad" u="1"/>
        <s v="TTK 58-59-66-72-73" u="1"/>
        <s v="TTK 08-52 (nafta) - TT01 (cargada)" u="1"/>
        <s v="TT 04– 17- 05 – 64 (nafta) + MGT 07 (vacía) " u="1"/>
        <s v="MAG 08 (cont)" u="1"/>
        <s v="TTK 59 (vacía) - MAG 17 (cont v)." u="1"/>
        <s v="TT 15 - 59 - 82 (Crudo) - TT 61 (Vacio)" u="1"/>
        <s v="TT 16-62-65 TT 18-53- MGT 11 (vacías) TT 56-15 (vacía) _x000a_MAG 03 (Vacía). TT 82 (crudo) - TT 55 - 07 (Crudo)_x000a_" u="1"/>
        <s v="Tragas 01,02,03 (Tragas)" u="1"/>
        <s v="MAG 04-16-12(cont) - MAG 03-31(yeso) - MAG 15-19-21(tuberias)" u="1"/>
        <s v="TT 56-53-16-17-85-67 (Nafta)" u="1"/>
        <s v="TT51-55-62(crudo)" u="1"/>
        <s v="TTK 05-85 + MGB 06-07-08 + TTK 01 - 71 - 69 (Cargada)" u="1"/>
        <s v="TTK 66 (Nafta)" u="1"/>
        <s v="Remolcado por el RR El Banco" u="1"/>
        <s v="MGB 08-03 TTK 80-22-73-59-72-58 (Crudo)" u="1"/>
        <s v="MAG 11 - 26" u="1"/>
        <s v="MAG 05- 09 - 39(Cont)" u="1"/>
        <s v="TT 61 – 09 - 10 - 21 (Vacías) " u="1"/>
        <s v="TT 19 - 08 -51 (Crudo)" u="1"/>
        <s v="TT03-07-19-20-63-73(midland)" u="1"/>
        <s v="TGS  01-02-03" u="1"/>
        <s v="MAG 12 (cont) " u="1"/>
        <s v="TT 57-62-83 (crudo) + TGR 03 (OGR)  " u="1"/>
        <s v="TT 02-71-72 (Nafta)" u="1"/>
        <s v="TT 03-68-82 (Nafta)" u="1"/>
        <s v="MAG 25 - 40 (Coal)" u="1"/>
        <s v="TT66-58-59(crudo)" u="1"/>
        <s v="TT 14 (Cargada)" u="1"/>
        <s v="MAG 16-04 (Cont)" u="1"/>
        <s v="MAGfuel 2" u="1"/>
        <s v="TGS 01-02 (ISOBUTANO) + TGS 3 (Vacía)" u="1"/>
        <s v="TGS 1 - 2 (ISOBUTANO) / TGS 3 (Vacía)" u="1"/>
        <s v="MB 04 – 02 TT 71 (crudo) MAG 03 (Vacía)  " u="1"/>
        <s v="TT 50 – 52 – 59 – 66 – MB 05 - 07 (Crudo) - MAG 11 (Cont.) " u="1"/>
        <s v="MAG 09 - 17 (Cont) - TT 03 - 16 - 17 - 82 (Crudo)" u="1"/>
        <s v="MAG 04-16" u="1"/>
        <s v="TT02-69-MB06(vacías)" u="1"/>
        <s v="MAG 16 (cont)" u="1"/>
        <s v="TT 56 - 85 - MB 05 (Crudo)TT 08 - 16 (Crudo) TG 01 (OGR)" u="1"/>
        <s v=" TTK 55-57-63-17-16 - MB 11 (Vacías)" u="1"/>
        <s v="MAG 04 (Cont)" u="1"/>
        <s v="TTK 02-11-12-69-05-85 (Crudo)" u="1"/>
        <s v="TTK 03-16-64-(Nafta) " u="1"/>
        <s v="TTK 62 - 71 - 80 (Crudo)" u="1"/>
        <s v="TTK 67 - 66 - 50 (Crudo)" u="1"/>
        <s v="TT20-64-82(crudo)" u="1"/>
        <s v="TT 59 - 68 - 20 - 56 - 03 (Vacio)" u="1"/>
        <s v="TT 50 - 57 - 59 - 72 MB 03-04 (Vacio)" u="1"/>
        <s v="Tragas 1-2-3" u="1"/>
        <s v="Disponible " u="1"/>
        <s v="TT 11(Vacia) - MAG 08 (Cont) - MAG 38 (Inertizadora)" u="1"/>
        <s v="TTK 21-54-64 -20-67-82 (crudo)." u="1"/>
        <s v="MAG 04 - 16 - 12 (Cont) -MAG  34 31 - 03 - 19 (Vacías)" u="1"/>
        <s v="TT14 (cargada) - TT 02-12(nafta)" u="1"/>
        <s v="TT 21 (crudo) TT 22 – MB 01 (crudo) + MAG 34 (Cont.)" u="1"/>
        <s v="TT 13 (Traliviano)" u="1"/>
        <s v="MAG 04 - 12 - 16 - 34(Cont) " u="1"/>
        <s v="TT 12 - 20 - 58 - 69 (Crudo)" u="1"/>
        <s v="MAG 04-16(cont)" u="1"/>
        <s v="TT 08 - 15 (crudo) MGB 04 - 03 - 02(crudo) MAG 26 (isos)" u="1"/>
        <s v="MGB 06-07 TTK 02-55-56 (Vacia)" u="1"/>
        <s v="MAG 26-17-11 (Vacia)" u="1"/>
        <s v="MAG 18 - 25 (Coal) - TTK  16 - MGB 01 (Crudo) - TTK 09 (Vacía)" u="1"/>
        <s v="TT 18-55-60 (Nafta)" u="1"/>
        <s v="Lleva de arete al Magangue" u="1"/>
        <s v="TTK 11-55-62-64-65- (nafta) - 66 (Vacías) MAG 11 (Cont) " u="1"/>
        <s v="TGS1-2-3" u="1"/>
        <s v="TTK 05-22-60-67 (crudo). " u="1"/>
        <s v="TTK 11--15--57-(Vacía) + TT 50 – 66 – 67 (Crudo)_x000a_" u="1"/>
        <s v="MAG 25 - 33 (Coal)" u="1"/>
        <s v="TT 04-17-21-64 -85-MB12 (crudo) " u="1"/>
        <s v="MAG 04 - 16 (cont) MAG 08 - 09 (vacias) " u="1"/>
        <s v="MAG 04 - 05 - 16 (Cont.)" u="1"/>
        <s v="MAG 04 - 09 - 16 (Cont.)" u="1"/>
        <s v="MAG 04 – 08 – 16 (Cont.)" u="1"/>
        <s v="TTK 12 (nafta) TTK 51-55-62-66 MGT 01 (Vacías)." u="1"/>
        <s v="TT  19 - MGT 07 - 11 (Vacías)" u="1"/>
        <s v="TT 09-10 (Cargadas) + TT 83 (Vacía)" u="1"/>
        <s v="TT 22 - 50 (Nafta) - MGB 12 (Vacía)" u="1"/>
        <s v="TTK 08-17-53-69 - MGT 03-05 (vacías)" u="1"/>
        <s v="TTK 17– 54 – 85 (vacía)._x000a_TT 83 (Crudo) TT 62 (Crudo) MGB 07 (crudo)_x000a_" u="1"/>
        <s v="MAG 12 (cont) TT 67 - 11 (vacia) " u="1"/>
        <s v="TRAGAS 01-02" u="1"/>
        <s v="MAG 12 – 16 – 26 – 04 (cont) " u="1"/>
        <s v="MB 02 - TT 08 - 18 - 20 (Vacías)" u="1"/>
        <s v="TT 02-07-13 (Traliviano)" u="1"/>
        <s v="TTK 08-15 MGT 08 (crudo)" u="1"/>
        <s v="TTK 50 - 22 - 18 (Crudo)" u="1"/>
        <s v="TT04-63-64(crudo)" u="1"/>
        <s v="MAG 11 (cont)." u="1"/>
        <s v="TTK 05 MGT 05-08-12 (vacías) " u="1"/>
        <s v="TTK 65 (nafta) – 06 (vacías) " u="1"/>
        <s v="TTK 07 (crudo) TTK 59 – 56 – 68 – 03 – 08 - 20 (Vacías)" u="1"/>
        <s v="TTK 69 - 14 (Vacías) TTK 52 (Crudo) - TT 68 (Nafta) - MB 01 (Crudo)" u="1"/>
        <s v="MAG 04 - 16 - 34 (vacio)" u="1"/>
        <s v="MGT 08 - 05 - 07 (Crudo)" u="1"/>
        <s v="TTK 21(Vacía) -55-62 TTK (Crudo) " u="1"/>
        <s v="TTK 62-71-80-53-56-MB 07 (Crudo) " u="1"/>
        <s v="TT 51-07 (Traliviano)" u="1"/>
        <s v="MAG 01 - 14 - 13 - 19 - 30 - 33 " u="1"/>
        <s v="TT 07 - 52 - 71 MB 01 (Midland)" u="1"/>
        <s v="MB 04 – 02 TT 71 (crudo) " u="1"/>
        <s v="TTK 21-54-64 + TTK 20-67-82 (Crudo) " u="1"/>
        <s v="TTK 69 - 14 (Vacías) TTK 52 (Crudo) " u="1"/>
        <s v="TT59 - 55 MGT 05 (Crudo)" u="1"/>
        <s v="TT 51 – 09 - 14 – 22 - 01 - 61 - 15 – 73 (Vacías)." u="1"/>
        <s v="MB 05- 08 TT  - 52 – 53 - 85  - 66 (vacías) " u="1"/>
        <s v="MGT 11 - TT 80 - 58 - 68 (midland) + TT 22 - 82 (Vacías)" u="1"/>
        <s v="MGT 08 - TT 68-63 (Crudo)" u="1"/>
        <s v="TT 51-60-55-07-82-58 (Vacías). – " u="1"/>
        <s v="TTK 63-62 (Nafta)" u="1"/>
        <s v="MAG 04 - 16 - 17 - 34" u="1"/>
        <s v="TTK 52-56-83-18-65-22 (Vacia)" u="1"/>
        <s v="TTK 57-55-11-15-64-12 (Vacia)" u="1"/>
        <s v="TTK 12-56-68 04- 62 (crudo) TG 01 (Vacías)." u="1"/>
        <s v="MAG 34 (Cont)" u="1"/>
        <s v="TGS 01-02 (OGR)" u="1"/>
        <s v=" MAG 38 TTK 54-60-13 (Traliviano)" u="1"/>
        <s v="MGB 05-02-04-11 TTK 62-55 (Crudo) TTK 21 (Vacia)" u="1"/>
        <s v="MGB 06-07-08 TTK 02-13 (Crudo) TTK 09-51 (Vacia)" u="1"/>
        <s v="TT73-63(vacía)" u="1"/>
        <s v="MAG 04 - 05 - 16 " u="1"/>
        <s v="TT 05-22-69(crudo)" u="1"/>
        <s v="TTK 03 – 20 – MGT 11 (Crudo) " u="1"/>
        <s v="TTK 65-67-83 + MB 03 (crudo) " u="1"/>
        <s v="MB 08 (Crudo) TTK 18 (Crudo) TTK 12 (Crudo) " u="1"/>
        <s v="TT 15 (crudo) MGB 04 - 03 (crudo) - TTK 08 - MGT 02 (crudo) + MAG 26 (isos)" u="1"/>
        <s v="TT 20 - 03 - 68 (Nafta) MGB 06-08-04 (Vacio)" u="1"/>
        <s v="TT 72-05 (Midland)" u="1"/>
        <s v="TT 55-08-65 (Vacias)" u="1"/>
        <s v="MAG 04 16 - 34 ( Cont)" u="1"/>
        <s v="TTK 73-11 (Crudo) TTK 51 (Vacia)" u="1"/>
        <s v="TTK 56-52-65 (Nafta)" u="1"/>
        <s v="TTK 56-62-65 (Nafta)" u="1"/>
        <s v="Magfuel - TT12 - 64 (Traliviano)" u="1"/>
        <s v="TTK 03 – 20 – 65 - 67 - 83  MGT 03-  11 (Crudo) " u="1"/>
        <s v="TT 04-85-MB12(crudo) " u="1"/>
        <s v="TT 13 (Crudo) – TT 21 (Crudo) MB 01 (Crudo) " u="1"/>
        <s v="MGT 02 - 06 - TT 60 (Vacías)" u="1"/>
        <s v="MGT 03 - 01 - TT 21 (Vacías)" u="1"/>
        <s v="MGT 11 - TT 85-72-15 (Vacias)" u="1"/>
        <s v="TT 53 -80 (naf) - MB 07 (vacía)" u="1"/>
        <s v="TT17-57-68(crudo)" u="1"/>
        <s v="TT 07 – 22 – 69 (Vacías) + MAG 34(Cont) " u="1"/>
        <s v="MGB 06-07 TTK 02-55-56 (Vacia) + RR Puerto Triunfo" u="1"/>
        <s v="TG 1 - 2 - 3" u="1"/>
        <s v="TT14 – 71 (Crudo) MGB 02 (Crudo) + RR Magangue" u="1"/>
        <s v="TGS  03" u="1"/>
        <s v="TTK 03 - MGB 04 - 06 (Vacías)" u="1"/>
        <s v="TTK 80 - 63 - MGB 12 (Vacías)" u="1"/>
        <s v="MAG 04 -16 (cont)- MAG 08 - 39(Vacio) + R Mompox" u="1"/>
        <s v="TTK 08-19-51 (Crudo) TTK 14-15-22 (Crudo) + RR gloria de arete" u="1"/>
        <s v="TT 53 - 56 (Crudo) - TG 02 (OGR)" u="1"/>
        <s v="TT 53 -80 (Nafta) - MB 07 (Vacía) " u="1"/>
        <s v="TT 02 - 69 - + MGT 06 (Vacías)" u="1"/>
        <s v="MAG 09 (Cont) MAG 04 – 16 (Cont) - " u="1"/>
        <s v="TT 05 - 11 (Midland) - TG 01 (Vacio)" u="1"/>
        <s v="TT 83-10-17-53-03-57 (Nafta)" u="1"/>
        <s v="TTK 14-19-21-13-54-85 (Crudo) MACDECK 04 (BOYA) " u="1"/>
        <s v="TT 04– 17- 05 (nafta) " u="1"/>
        <s v="TTK 12 MGT 12 (crudo) + MAG 09 (conts)" u="1"/>
        <s v="TT 65 - 53 - MGT 06 (Crudo)TT 04 - 71 - MGT 04 (Crudo)" u="1"/>
        <s v="TGS01-02-03(vacías)" u="1"/>
        <s v="TTK 16-68 (Nafta) TTK 82 (Vacia)" u="1"/>
        <s v="TTK 57-55-11-15-64-14-12 (Vacia)" u="1"/>
        <s v="TT 13 " u="1"/>
        <s v="TG 01" u="1"/>
        <s v="TT 20-03-68 (Nafta)" u="1"/>
        <s v="Escotero hacia San pedrito" u="1"/>
        <s v="MAG 13-14-19-30 (bobinas)" u="1"/>
        <s v="TT 53 - 56 – 17 – 58 – 64 – 68 (Crudo) + TGS 02 (OGR) " u="1"/>
        <s v="TT 11 - 53 – MB 08 (Vacías) " u="1"/>
        <s v=" TT 72 – 69 (vacías) " u="1"/>
        <s v="TT 14-71-MGT02 (Vacías)" u="1"/>
        <s v="Escotero" u="1"/>
        <s v="TT 50 - 57 - 59 - 72 (Vacio)" u="1"/>
        <s v="TT 20 (crudo) – 54 – 60 (crudo) " u="1"/>
        <s v="TTK 02 - 13 (Crudo) +  TTK 09 (Vacía)" u="1"/>
        <s v=" MGT 03 – 06 (vacías) " u="1"/>
        <s v="TT 59 - 66 - 15 - 53 - 85 - 52 - MGT 11 (Crudo)" u="1"/>
        <s v="TTK 04 - 15 (Diesel) - TTK 12 - 64 (Traliviano)" u="1"/>
        <s v="TT 12 (Vacía)" u="1"/>
        <s v="TT 14 – 58 - 80 (Crudo) TTK 16-67-85 (crudo) " u="1"/>
        <s v="TT 82-65 (Midland)" u="1"/>
        <s v="MAG 04 – 09 - 16 (Cont) - TT 51 (vacía)" u="1"/>
        <s v="TGS 03 (OGR)" u="1"/>
        <s v="TT 22 – 18 - 08 - 82 – MGT 04 - 02 (Vacías) " u="1"/>
        <s v="MB 03 (vacía)" u="1"/>
        <s v="TT 55 - 62 - 11 - 65 - 64 (Nafta) MAG 11 (cont.) - TT 66 (Vacía)" u="1"/>
        <s v="TT  09 - 14 – 22  (Nafta)" u="1"/>
        <s v="TT04-10-11-21-55 - MB01-03(vacía) " u="1"/>
        <s v="TT 54 - 82 - 17 - 13 (Crudo)" u="1"/>
        <s v="TT 54 - 85 - 17 - 13 (Crudo)" u="1"/>
        <s v="MGT 01 - 03 TT 73 (Vacías)" u="1"/>
        <s v="TT 14 – 21 - 85 + 64 (nafta) + MGT 02-08+07 (vacías) " u="1"/>
        <s v="RR Banco" u="1"/>
        <s v="TT 80-53-56 (Nafta) MGB 07 (Vacia) + RR La Gloria" u="1"/>
        <s v="TTK 63-80-53 (Crudo)" u="1"/>
        <s v="TTK 67-68-83 (crudo)" u="1"/>
        <s v="TTK 68-16-03 (Crudo)" u="1"/>
        <s v="TTK 85-05-83 (Crudo)" u="1"/>
        <s v="TT50-52-59 (traliviano)" u="1"/>
        <s v="TT 18-08-50-83-55-57 MGB 07 (Crudo)" u="1"/>
        <s v="TTK  14 – 71 - MGB 02 (crudo) " u="1"/>
        <s v="TTK  71 - MGB 02 – 12 (crudo) " u="1"/>
        <s v="TTK 02-13-65-18-56-62 (Crudo) " u="1"/>
        <s v="TTK 03-63-80-67-68-83 (crudo) " u="1"/>
        <s v="TTK 51-58-60-55-07-82 (crudo) " u="1"/>
        <s v="MGT 01 - TTK 60 - 21 (Midland)" u="1"/>
        <s v="TTK 82 - 05 (Crudo) - TTK 01 (Vacía)" u="1"/>
        <s v="MB 04-06(vacías)" u="1"/>
        <s v="MAG 03 - 22 (Vacía) - TTK 18 - 12 – 21 - MGT 01 - 03 - 12 (crudo) " u="1"/>
        <s v="MAG 03 - 22 (Vacía) - TTK 18 - 12 – 21 - MGT 01 - 08 - 12 (crudo) " u="1"/>
        <s v="MAG 04 -11- 16 (Cont)- MAG 37 (Vacio)" u="1"/>
        <s v="TT 03 - 07(nafta) + MAG 39 (cont) " u="1"/>
        <s v=" TT 56 - MB 12 (crudo) - TGS 02 (OGR)" u="1"/>
        <s v="TTK 72 - 71 - 02 -14 - MGT 02 - MB 06 (crudo) hacia CTG." u="1"/>
        <s v="TGS 01 (OGR)" u="1"/>
        <s v="TTK 02-05-MB06 (crudo) " u="1"/>
        <s v="TT 13 - 60 (Traliviano)" u="1"/>
        <s v=" TTK 03-56-62-63-80 MGT 03 (vacías) " u="1"/>
        <s v="TT 55 - 65 - 64 (Nafta) TT 02-69 MB 06 (Crudo) - TT 66 (Vacía)" u="1"/>
        <s v="TTK 04 MGT 02 – 12 (Vacías)" u="1"/>
        <s v="TTK 56 - 62 MGT 03 (Vacías)" u="1"/>
        <s v="MAG 4 - 16" u="1"/>
        <s v="MAG 4 - 16 (Vacio)" u="1"/>
        <s v="MAG 04-16 (Cont) MAG 12(Vacia)" u="1"/>
        <s v="MAG04-12 (cont) - TT07 (vacía)" u="1"/>
        <s v="TTK 12 (nafta) TTK-66 MGT 01 (Vacías) + RR Magangue" u="1"/>
        <s v="TTK 18-08 MGT 02 (crudo) + RR Magangue (Remolcado)" u="1"/>
        <s v="TT 16 (Nafta)" u="1"/>
        <s v="TT 64 - 68 (Crudo)" u="1"/>
        <s v="TTK 10(Vacia) TTK 57-20 (Crudo)" u="1"/>
        <s v="TTK 11-57 (crudo) " u="1"/>
        <s v="TT 04 - 80 MGB 06 (vacias)" u="1"/>
        <s v="TT  22 - 69 - 07 -14(vacio) + MAG 34 (Cont) + TT 20-83-03 (Crudo)" u="1"/>
        <s v="TT 85 - 69 (Nafta) - MGT 06 - 04 (Vacía) - MGT 01 (Vacía)" u="1"/>
        <s v="TT71 - MB 12 (crudo) - TT 08 - 22 (vacías)" u="1"/>
        <s v="TT 50 (Traliviano) - TT 52 - 59 (Vacio)" u="1"/>
        <s v="TTK 08-19-51 (Crudo) TTK 14-15-22 (Crudo) " u="1"/>
        <s v="TTK 16-17 MB 05 + TTK 19-68-MB 08 (crudo) " u="1"/>
        <s v="TTK 16-17-82 + TTK 03 + TTK 68-50 (crudo) " u="1"/>
        <s v="Magfuel 02" u="1"/>
        <s v="TTK 82 (Crudo) - TTK 63 - MGB 03 - 02 (Vacías)" u="1"/>
        <s v="TT 22 (vacía)" u="1"/>
        <s v="TT 64-65 (Crudo)" u="1"/>
        <s v="TT 05 - MB 05-12(Crudo)" u="1"/>
        <s v="MAG 04-16 (cont)" u="1"/>
        <s v="MAG 04 - 16(Cont) MAG 11 - 26 (Vacio)" u="1"/>
        <s v="TTK 17-18-56 MB 05 //TT 68 - 72 MB 08(Crudo)- TT 10(Vacio) " u="1"/>
        <s v="MB 05 (vacía)" u="1"/>
        <s v="MAG 18" u="1"/>
        <s v="TTK 73 - 59 -66 (Crudo)" u="1"/>
        <s v="MAG  18 - 01 ( Steel Coil )" u="1"/>
        <s v="TT 58 - 59 - 80 (Crudo) + RR Magangue " u="1"/>
        <s v="TGS 01-02 (ISO)" u="1"/>
        <s v="TTK 03 - 68 - 16 (Nafta)+ MGB 03 - 01 - TTK 50 - 82 - 17 (Vacías)" u="1"/>
        <s v="Maniobras " u="1"/>
        <s v="TT 66-71-08 (vacías) " u="1"/>
        <s v="TTK 14-19-21-13-54-85 (Crudo)  " u="1"/>
        <s v="TT 52 -- 59 - 50 (Traliviano)" u="1"/>
        <s v="TT 50- 52 - 80 - 59 MGT 05 - 07 (Vacías)" u="1"/>
        <s v="MAG 04 - 16 - 34 (Cont)" u="1"/>
        <s v="MAG 16 - 04 - 34 (Cont)" u="1"/>
        <s v="MAG 34-04-16 (Contenedor)" u="1"/>
        <s v="MB05-03-TT08(vacías) " u="1"/>
        <s v="TT 07 - 22 - 69 - 72 - TG 03 (vacio)" u="1"/>
        <s v="TTK 20-54-60-82-07 -MGT 04 (Vacías) " u="1"/>
        <s v="TT 54 - 13 - 60 (Traliviano) + MAG 38 (inertizadora)" u="1"/>
        <s v="MAG 09 (Vacia) - TT 56 (Nafta)" u="1"/>
        <s v="TTK 65 (Nafta) TTK 52-56 (Vacia)" u="1"/>
        <s v="TT 59 (traliviano)" u="1"/>
        <s v="TTK 56-62-65(crudo) MGT 03 - 06 (crudo) MAG 09 (Cont.)" u="1"/>
        <s v="TT 02 (Vacías) - TT 05 - 63 (Nafta)" u="1"/>
        <s v="MAG 09 - 17 (Cont) - TT 03 (Crudo)" u="1"/>
        <s v="TTK 58-66 - MGT 11 (crudo)" u="1"/>
        <s v="TTK 07-20-51-55-60 MGT 04 (Vacías)" u="1"/>
        <s v="TTK 18-11-63-66-80-MGT 11 (vacías)" u="1"/>
        <s v="TT 68 MB 11(Vacio)" u="1"/>
        <s v="MGB 12 - TTK 18 (Crudo) + TTK 51 (Vacías)" u="1"/>
        <s v="MAG 01-18 -19 - 21-22(Bobinas)- MAG 13 - 14 - 15 (Vacio)" u="1"/>
        <s v="TTK 66-67-80-83(nafta) TTK 52(vacío) + TGS 01 (vacía) + RR Zambrano" u="1"/>
        <s v="TT 08 - 20 (Vacías)" u="1"/>
        <s v="TT 14 (midland) " u="1"/>
        <s v="TT 50 - 52(Vacio)  TT 59 (Traliviano)" u="1"/>
        <s v="TT13-19-21 (Crudo)" u="1"/>
        <s v="TT 16 (Vacía)" u="1"/>
        <s v="TTK 03-61 - MGT 11 (crudo) " u="1"/>
        <s v="TTK 08-MGT 05 - 08 (crudo) " u="1"/>
        <s v="TT 05 - 62 (Vacia)" u="1"/>
        <s v="TTK 03 - 83 (Vacías - TTK 85 (Nafta)" u="1"/>
        <s v="TT65-67-83(crudo)" u="1"/>
        <s v="TT 51 - 61" u="1"/>
        <s v="TTK 03 (Nafta) TTK 50-17 (Vacia)" u="1"/>
        <s v="TTK 07-12-72-18-02 (crudo) TTK  68 – 08 - 20 (Vacías)" u="1"/>
        <s v="MAG 38" u="1"/>
        <s v="TT 68 - 72 MB 08 (Crudo) - TT 10 (Vacio)" u="1"/>
        <s v="MAG 16-26-04-11 (Cont.)" u="1"/>
        <s v="TT 83 - 80 (Nafta) + TGS 01 (Vacía)" u="1"/>
        <s v="TT 02 - 69 - 08 - 20 + MGT 06 (Vacías)" u="1"/>
        <s v="TT 20 - 56 - 65 (tramedio)" u="1"/>
        <s v="TT 22 - 57 - 67 (tramedio)" u="1"/>
        <s v="MAG 39 (Cont.) – TTK 05-72 - 69 – 02 - MGT 06 (crudo)" u="1"/>
        <s v="TTK 13-18-73 (Vacías) TT 11 - 57 - 15 (Crudo) " u="1"/>
        <s v="TT 08 - 20 - 80 - 83 - MB 02 - 12 (vacio) - MAG 11 (Cont) - TT 03 (Nafta)" u="1"/>
        <s v="MB 04-05-08(crudo) TT 68 MGT 03 – 12 (crudo)" u="1"/>
        <s v="TT 19-MGT06 (Vacías)" u="1"/>
        <s v="TT 59-56 (Crudo) MAG 34(Cont)." u="1"/>
        <s v="TT 60 - 13  - 54 (Traliviano)" u="1"/>
        <s v="TT 19 (Vacia) - TT 63 - 05 (Nafta)" u="1"/>
        <s v="TT83 (crudo)" u="1"/>
        <s v=" TTK 12-15-64(Vacía) " u="1"/>
        <s v="TT 51-61 + TT 01 - 14 (Vacia)" u="1"/>
        <s v="TTK 04 -11-16-65-67-85-MB 11 (Vacío) " u="1"/>
        <s v="TT 15 - 73 (vacia)" u="1"/>
        <s v="TGS01-02-03(ISOBITANO)" u="1"/>
        <s v="TTK 02-05-11-12-69-85(Nafta)  " u="1"/>
        <s v="TT 58 (Vacía) - TTK 16 – 85 (Midland) " u="1"/>
        <s v="TTK 05-85 (Vacia)" u="1"/>
        <s v="TT 53 - 55 MGT 11 (Crudo)" u="1"/>
        <s v="TGS3(vacía)" u="1"/>
        <s v="TT50-52-59 (vacías)" u="1"/>
        <s v="TT 60 - 73" u="1"/>
        <s v="TT 17 (vacía) TTK 85 -69 (Nafta)" u="1"/>
        <s v="TT 64 (Traliviano)" u="1"/>
        <s v="MAG 34 - 04 - 16 - 17 (Cont)" u="1"/>
        <s v="TT 19 - 54 - 14 - 85 - 17 - 21 (Vacías)" u="1"/>
        <s v="TTK 05-12-69-82-22 (nafta) TTK 71-64 (Vacía) " u="1"/>
        <s v="TTK 11-67-12-20-57(Crudo) TTK 01(Vacia)" u="1"/>
        <s v="TT 60 – 57 (Vacía) " u="1"/>
        <s v="MGT 04 - 02 - 03 + TT 08 (Vacías) MAG 39 (ISOS)" u="1"/>
        <s v="MAG 04-08-16 (Cont.) + MAG 38 (Inertizadora) + Pontón + RR Zambrano " u="1"/>
        <s v="TT 52 - 85 - 66 (vacías) " u="1"/>
        <s v="TT 08 - 20 -  MB 02 - 12 (vacio) + TTK 57-07-04 (Crudo)" u="1"/>
        <s v="TT 11-20 (Vacia)" u="1"/>
        <s v="MGT 12 (Crudo) TTK 16 (Crudo) TTK 64 (Crudo)" u="1"/>
        <s v="MB 11-02-12 (vacías)" u="1"/>
        <s v="TT 61 - 09 - 10 (Cargada)" u="1"/>
        <s v="TT 73-59-66-72-58 (Nafta) -TT51 (Cargada)" u="1"/>
        <s v="TTK 04-65-71 (nafta) +TTK 02-MB 04-06(Vacía) " u="1"/>
        <s v="TT 07-19 (Crudo)" u="1"/>
        <s v="TTK 05-12-69-MB 02-03-12 (crudo)-TGS 01 (OGR) + R Zambrano " u="1"/>
        <s v=" TTK 09 - 10 - 61 (Cargada)" u="1"/>
        <s v="TGS 02 + MGT 06 (vacía) + TTK 02-05-69-72 (nafta)" u="1"/>
        <s v="TTK 05 – 20 – 22 - MB 05 – 08 - 12 (vacías). _x000a_" u="1"/>
        <s v="TT 62-19-83 (Nafta)" u="1"/>
        <s v="TT 63-85-83 (Nafta)" u="1"/>
        <s v="TT 72 TGS 03 (Vacia)" u="1"/>
        <s v="MAG 34" u="1"/>
        <s v="MAG 33 (Bobinas) MAG 07 (Carg. Bobinas)" u="1"/>
        <s v="TTK 05-17-18-85-MB 05 + TTK 16-56 + TGS 01(Vacías), " u="1"/>
        <s v="MAG 22" u="1"/>
        <s v="MAG 04-08-16(cont)" u="1"/>
        <s v="TT13-54-60 (traliviano)" u="1"/>
        <s v="TTK 12-18-02-72 (crudo) " u="1"/>
        <s v="TTK 15-85-MB 11 (Crudo) " u="1"/>
        <s v="TTK 19-63-MB 01 (Crudo) " u="1"/>
        <s v="TTK 58-62-MB 05 (crudo) " u="1"/>
        <s v="TTK 59-72-58-66 (crudo) " u="1"/>
        <s v="TTK 03-17-16 (Nafta)" u="1"/>
        <s v="TTK 59-58-66 (Nafta)" u="1"/>
        <s v="MAG 04-16-26(cont)" u="1"/>
        <s v="TT 73 - 19 - 63 - 03 - 20 - 07 (Crudo) + RR Magangue" u="1"/>
        <s v="TT 07 – 08 – 55 (Crudo) - MAG 33 (coal)" u="1"/>
        <s v="TTK 63 – 64 – 68 - 02 - 11 - 80 (vacía)" u="1"/>
        <s v="TT 05 - 02 - MGT 06 (Crudo)T 69 - 72 - 73 (Crudo) + MAG 15-24 (Vacias)" u="1"/>
        <s v="MGB 12 TTK 63-62 (Midland)" u="1"/>
        <s v="MAG 04 - 16 - 17 (Cont)." u="1"/>
        <s v="TT 50-52-59 (Traliviano)" u="1"/>
        <s v="TGS 02" u="1"/>
        <s v="51 – 01 – 15 (Nafta)" u="1"/>
        <s v="TTK 17– 22 - 57 - 60 - 67 + MGT 06 (crudo) " u="1"/>
        <s v="TT 51 (vacía)" u="1"/>
        <s v="TK 17-21-64 (crudo) " u="1"/>
        <s v="TT 80-53-56 (Nafta) MGB 07 (Vacia)" u="1"/>
        <s v="MAG 04-11-16 (Vacias)" u="1"/>
        <s v="TTK 16-17 (Nafta)" u="1"/>
        <s v="TT 51 (Cargada) TT 72-73 (Nafta)" u="1"/>
        <s v="TT 68 - 19 - MGT 08 - 03 (Vacías) + TT 09 (Cargada) + MAG 08 (Cont)" u="1"/>
        <s v="TT 14 – 21 - 85 (nafta) + MGT 02-08 (vacías) " u="1"/>
        <s v="MAG 04-16-17-34 (cont)" u="1"/>
        <s v="TTK 03-16-64-51-53-MGT 07 (vacías) " u="1"/>
        <s v="TTK 03-56-62-63-80 MGT 03 (vacías) " u="1"/>
        <s v="TTK 05-14-19-22-71 MGT 07 (vacías) " u="1"/>
        <s v="TTK 08-11-15-57 MGT 05-08 (vacías) " u="1"/>
        <s v="TTK 08-14 -15 - 19-22- 51 (Vacías) " u="1"/>
        <s v="TTK 08-17 MGT 03-08-05-12 (vacías) " u="1"/>
        <s v="MAG 03 - 23 (Vacias)" u="1"/>
        <s v="MAG 03 - 31 (Vacias)" u="1"/>
        <s v="TT 61 " u="1"/>
        <s v="TT 07 (Tramedio)" u="1"/>
        <s v="MAG 33 (Carg. Bobinas)" u="1"/>
        <s v="TTK 02-71-72 (Nafta) " u="1"/>
        <s v="TTK 03-10-63 (nafta) " u="1"/>
        <s v="TTK 03-67-83 (Nafta) " u="1"/>
        <s v="TTK 08-19-65 (nafta) " u="1"/>
        <s v="TTK 08-19-66 (Nafta) " u="1"/>
        <s v="TTK 11-73-83 (Nafta) " u="1"/>
        <s v="TTK 13-18-21 (nafta) " u="1"/>
        <s v="TTK 18-55-60 (Nafta) " u="1"/>
        <s v="TTK 50-52-66 (Nafta) " u="1"/>
        <s v="TTK 58-59-22 (nafta) " u="1"/>
        <s v="TTK 62-66-80 (Nafta) " u="1"/>
        <s v="TTK 63-80-68 (Nafta) " u="1"/>
        <s v="TTK 72-73-80 (Nafta) " u="1"/>
        <s v="MAG 04 - 16 (cont) + MAG 01 (vacía)" u="1"/>
        <s v="MAG 04 - 16 (Cont) - MAG 11 (Vacía)" u="1"/>
        <s v="TT 62 - MB 01 (Vacio)" u="1"/>
        <s v="TT11-20-73-57-62(crudo)" u="1"/>
        <s v="TT 61 – 09 - 10 (Vacías) " u="1"/>
        <s v="TT 63 – 19 – 07 (Vacías) " u="1"/>
        <s v="TT 50 – 59 - MB 05 (Vacías) " u="1"/>
        <s v="TTK 01 - 71 - 69 (Cargadas)" u="1"/>
        <s v="TT  07 - 54 -  60 – 64 – 82 (vacías) " u="1"/>
        <s v=" TT 56 - MB 12 (crudo) - TGS 02 (OGR) - TT 63 – 62 – 18 (Crudo) " u="1"/>
        <s v="TGS 01-03-02" u="1"/>
        <s v="TGS 01-02-03 (OGR)" u="1"/>
        <s v="TT 73-59-22 (Nafta)" u="1"/>
        <s v="TT 02-08-65-67-05 MGB 06 (Crudo) MAG 33 (Coal)" u="1"/>
        <s v="TT13-54-MB12(Midland) " u="1"/>
        <s v="TTK 08-18-MB07 (Vacío) 50-52-66 (Nafta) " u="1"/>
        <s v="TTK 08 MGT 05-08 (vacías) + RR Capulco " u="1"/>
        <s v="TTK 03-63-80-67-68-83 (Des Crudo) TT 69 (vacía)   " u="1"/>
        <s v="MAG 04 - 16  MAG 05 - 09 - 26 (Cont)" u="1"/>
        <s v="TT 63-82 (Nafta) TT 419(Vacia)" u="1"/>
        <s v="TT50-53-62-51-71 (Crudo) - TG01 (OGR)" u="1"/>
        <s v="TTK 07-08-50-52-57-71 (nafta) - TT01 (cargada)" u="1"/>
        <s v="MAG 04-05-16" u="1"/>
        <s v="MAG 04 (Cont) MAG 05 - 16 (vacias) " u="1"/>
        <s v="TT 50-52-57(crudo)" u="1"/>
        <s v="MAG 01-18 -19 - 21(Bobinas) - MAG 13-25(Vacio)" u="1"/>
        <s v="MAG 18 -19 - 21(Bobinas) - MAG 01-13-25(Vacio)" u="1"/>
        <s v="MAG 09-26-39" u="1"/>
        <s v="Remolcado en el Convoy del RR La Gloria" u="1"/>
        <s v="MAG 04-16-26(vacías)" u="1"/>
        <s v="TT 05 - 13 (Vacio)+MAG 05 (Cont) + R Calamar" u="1"/>
        <s v="TT 01 (Gsl) TTK 71-69 (Diesel)" u="1"/>
        <s v="MAG 04 - 16 (Cont) - MAG 11 - 01 - 26 (Vacía)" u="1"/>
        <s v="TTK 85 - 65 (crudo) MGT 02 - 06 – 01 - 12 (crudo)" u="1"/>
        <s v="TT71 - MB 12 (Vacio) - TT 08 - 22 (Cargando Nafta)" u="1"/>
        <s v="MAG 11(Cont) TT 14(Vacia) TT 20-11-12 MGB 04 (Crudo)" u="1"/>
        <s v="TT 82 - 72 - 73 - 68 - 59 - 15 (Nafta) + TGS 2 (Vacía)" u="1"/>
        <s v="MGT 11 - TTK 80 (Midland) TT 22 (Vacía) " u="1"/>
        <s v="TTK 02-05-08-55-65-67 MGB  (vacías)" u="1"/>
        <s v="TT 61 (Vacía)" u="1"/>
        <s v="TRAGAS 01" u="1"/>
        <s v="TTK 02-55-53 -13-18-73 (Crudo) " u="1"/>
        <s v="TTK 11-16-85 (Vacía)_x000a_TTK 66-67-80(Crudo)_x000a_" u="1"/>
        <s v="MAG 08 (vacía)" u="1"/>
        <s v="TT 50-52-59(traliviano)" u="1"/>
        <s v="TT02-05-69-72-73-MB06 + TT 15 (vacías)" u="1"/>
        <s v="TTK 18 + TTK 22-59-72 + TTK 19-58-66 (crudo) + MAG 18 (carbon)" u="1"/>
        <s v="TT52-73-68-20 (Crudo)" u="1"/>
        <s v="TT 80 - 67 -20 (Crudo)" u="1"/>
        <s v="TTK 02-12-16-55 (Midland) - TTK 08 (nafta) " u="1"/>
        <s v="TTK TT 07-13-54(crudo" u="1"/>
        <s v="TT 67 - MGT 07 (vacías)" u="1"/>
        <s v="TT14 + 2 bczs" u="1"/>
        <s v="TT 50 (Traliviano) - 52 (Desc. Traliviano) - 59 (vacía) " u="1"/>
        <s v="MAG 35 (cargando)" u="1"/>
        <s v="TT 05 - MB 02 - 12 (Crudo) - TG 01 (OGR)" u="1"/>
        <s v="TT 54 (vacía)" u="1"/>
        <s v="MAG 04-05-08-11 (Cont)" u="1"/>
        <s v="MAG 16-26-04-11 (Cont)" u="1"/>
        <s v="TT 59 - 68 - 20 - 56 - 03" u="1"/>
        <s v="MGB 02-12 TTK 80 (Crudo)" u="1"/>
        <s v="TT 08 - 55 MB 07 (Crudo)" u="1"/>
        <s v="MAG 04-16." u="1"/>
        <s v="MB 12-07-08 + TT 64-03-16-65 (Crudo)" u="1"/>
        <s v="TT 54 - 60 - 85 (tramedio)" u="1"/>
        <s v="MAG 04-05-11 (Cont) TTK 07 (Vacia)" u="1"/>
        <s v="MAG 04 – 16 (Cont.) MAG 08 (vacia)" u="1"/>
        <s v="TTK 56 - 53 - 80 (Nafta) - TTK 14 - 01 (cargada) - MAG 17 (Cont) - MGB 07 - MAG 09 (Vacía)" u="1"/>
        <s v="MAG 04 - 16 (Cont.) TTK 12 (vacía) MAG 11 (vacía) + TT 67 - TT 04 (vacía) + RR Capulco " u="1"/>
        <s v="TT60-64-MAG38" u="1"/>
        <s v="TT 68-82 (Nafta)" u="1"/>
        <s v="MAG 04 -16 - 05 (Cont.) " u="1"/>
        <s v="MAG 04-16-17-34 (Cont.) " u="1"/>
        <s v="TTK 05-14-19-63-72-73 (Midland).  " u="1"/>
        <s v="TT 15-53-65 MB 06 (Vacio)" u="1"/>
        <s v="TGS 01 (vacía) - MAG 21 (tuberia)" u="1"/>
        <s v="MGT 03 (Vacía)" u="1"/>
        <s v="TTK 55- 73 (crudo) + TGS 03 (vacía) " u="1"/>
        <s v="TG 03(Vacía) TT 58 (Vacía) - TTK 16 – 67 – 85 (Midland)  " u="1"/>
        <s v="TT  17-18-56 MB 05 (Vacio)" u="1"/>
        <s v="MAG 01 (Descargando) -MAG 33-14-13-18-19-30 (bobinas)" u="1"/>
        <s v="MB 08 - " u="1"/>
        <s v="MAG 04 (vacía)" u="1"/>
        <s v="TT 03-63-80(vacías) " u="1"/>
        <s v="TT 12-57 (Crudo) TT 01 (Vacia)" u="1"/>
        <s v="TTK 01 (Vacia)" u="1"/>
        <s v="TTK 02-13-65-18-56-62 (Crudo)" u="1"/>
        <s v="TTK 67 - 08 - 65 - 02 (Crudo)" u="1"/>
        <s v="TT50-52-59(traliviano)" u="1"/>
        <s v="MB 04 - TT 08-57 (crudo)" u="1"/>
        <s v="TTK 05-12-69-82-22 (nafta) TTK 71 (Vacía) " u="1"/>
        <s v="TTK 21 MGT 01-12 (crudo) + MAG 22 (vacía) " u="1"/>
        <s v="TTK 62-83-68-73-53 (vacía) MGT 07 (vacía) " u="1"/>
        <s v="MAG 04 - 16 (Cont.) + TT 12 (Vacía)" u="1"/>
        <s v="TT 61 (Cargada) + MAG 13 (Vacía)" u="1"/>
        <s v="TT 82 (Nafta)" u="1"/>
        <s v="TTK 83 (Vacías) - TTK 85 -69 (Nafta)" u="1"/>
        <s v="TT 03 -  MB 01 - 02 (vacías)" u="1"/>
        <s v="TTK 13-18-73 (Nafta) TT 11 - 57 - 15 (Nafta) " u="1"/>
        <s v="MAG 03 (vacia) " u="1"/>
        <s v="TT 11 - 66 (Crudo) + MAG 09 (Cont)" u="1"/>
        <s v="MAG 4 - 16 (Cont) - TT 15 (Vacia)" u="1"/>
        <s v="MAG 04-08-16(cont) + 09 (vacía)" u="1"/>
        <s v="MAG 03 - 23 (Corn) + TT 22 - 20 (Vacías)" u="1"/>
        <s v="MAG 04-16 (Cont) MAG 34 (Vacia)" u="1"/>
        <s v="TT 72 (vacía)" u="1"/>
        <s v="TTK 20-65-82 MB 02-11 (Midland) " u="1"/>
        <s v="MAG 01 - 14 - 13 - 19 - 30 - 33 (Bobinas) " u="1"/>
        <s v="TGS 1-2-3" u="1"/>
        <s v="TT 51-60-55-07-82-58 (Vacías) + MAG 35 (bigbags) " u="1"/>
        <s v="MGB 01 - TTK 16 (Crudo) - TTK 09 (Vacía)" u="1"/>
        <s v="TT 64 - 56 - MB 04 (Crudo)  " u="1"/>
        <s v="TGS 01-02 (ISOBUTANO)" u="1"/>
        <s v="TT 09-10 (Cargadas) + TT 17 (Vacía)" u="1"/>
        <s v="TTK 07-12 (Tramedio) TTK 82 (crudo)" u="1"/>
        <s v="TTK 69 - 14 (Vacías) TTK 52 (Crudo)" u="1"/>
        <s v="TT 01 - 09 - 15 - 51 - 61 - 73  MGB 04  (vacias)" u="1"/>
        <s v="TT 72 - 19 - 73 - 63 - 05 (Crudo) TT 14 (Vacia)" u="1"/>
        <s v="TT 05 - 22 - 20 MGT 08 - 05 - 12 (Crudo)" u="1"/>
        <s v="TT 51 –  01 - 61 - 15 – 73 (Nafta)" u="1"/>
        <s v="TT16-85 – MB 11 (crudo) TTK 22-82 MGT 04 (vacías)" u="1"/>
        <s v="TT 50-52-59 (Vacías)" u="1"/>
        <s v="TT 05(Crudo) TT 09(Vacia)" u="1"/>
        <s v="MAG 04-16(cont)." u="1"/>
        <s v="TT 53 -80 (naf) - MB 07 (vacía) " u="1"/>
        <s v="TTK 50 - 17 - 59 (Crudo)" u="1"/>
        <s v="TT 02" u="1"/>
        <s v="MAG 12(Cont) - MB 07 - 11 TT 19-50-58-63 (Crudo)" u="1"/>
        <s v="TT 10" u="1"/>
        <s v="TTK 18-08 MGT 02 (crudo) + MGT 04 - TT 22 - 82 (Crudo)" u="1"/>
        <s v="TT 20-56-65(Vacías)" u="1"/>
        <s v="MAG 04-11-09-17 (Cont)" u="1"/>
        <s v="TT 56-16-67-17 (Crudo) MAG 25-40 (Coal)" u="1"/>
        <s v="MGB 05 – TTK 59 – 73 (Crudo) " u="1"/>
        <s v="MAG 18 (Coal) - MAG 05 (Cont)" u="1"/>
        <s v="TTK 12 – 05 - TT 02 –  11 (Nafta) MB  07 (vacías) + TT 14 (cargada) " u="1"/>
        <s v="TTK 04-15-21 (Diésel)  + TT 51-14 (Gsl)" u="1"/>
        <s v="TT 05-11 (crudo) MB 07 (vacía)" u="1"/>
        <s v="TT 05-11 (nafta) MB 07 (vacía)" u="1"/>
        <s v="TT 50 (Vacía) - 52 (Desc. Traliviano) - 59 (vacía) " u="1"/>
        <s v="TTK 19-51-54-60-82 MGT 04 (crudo). " u="1"/>
        <s v="MB 03 - 05 - TT 08 - 17 - 53 - 69 (Vacio)" u="1"/>
        <s v="TTK 11-15-57 - 16-58-66 (Crudo)" u="1"/>
        <s v="TT 22 (vacía) - MAG 09 – 12 (Palanquillas) " u="1"/>
        <s v="TTK 07 (Tramedio) TTK 58-68 MGT 11 (crudo) MAG 05-34 (Cont.)" u="1"/>
        <s v="TT 57 - 83 (Vacías)" u="1"/>
        <s v="TT 85 - MGT 11 (Vacías)" u="1"/>
        <s v="TT 18 - MGT 04 - 02 (Vacías)" u="1"/>
        <s v="MAG 4 - 16 (Cont.)" u="1"/>
        <s v="TT 58 (vacía)" u="1"/>
        <s v="TGS 01-02-03(cargadas)" u="1"/>
        <s v="TT 11 - 16 - 17 - 58 - 83 -MB 11 (Vacias)" u="1"/>
        <s v="TGS 01-02-03" u="1"/>
        <s v="MAG 04-16 (cont) MAG 35 (Vacia)" u="1"/>
        <s v="TT 16 -65(Crudo) - TGS 02 (OGR)" u="1"/>
        <s v="MGT 01-12 TTK 85- (Crudo)" u="1"/>
        <s v="MGB 06 - TTK 05 - 62 (Vacías)" u="1"/>
        <s v="MGB 16 - 08 - TTK 68 (Vacías)" u="1"/>
        <s v="TTK 11-57-72 MGT 04 (crudo) " u="1"/>
        <s v="TTK 72 - 71 - TT 02 (Crudo) " u="1"/>
        <s v="MAG 03 (maíz)" u="1"/>
        <s v="TT 71 - 64 - 02 (Tramedio)" u="1"/>
        <s v="TTK 02-05-11-12 (Nafta)  - MB 01 - 07 (Vacio)" u="1"/>
        <s v="TT 63 - MB 02 (Crudo) - TT 04 (vacia)" u="1"/>
        <s v="MAG 04 (cont) - 08 - 16 (vacías)" u="1"/>
        <s v="TT 12-57 (Crudo) TT 01 (Vacia) + RR Capulco" u="1"/>
        <s v="MGB 08-06-04 (Crudo) TT 01(Vacia)" u="1"/>
        <s v="TTK 18-50-52 (Crudo) - TTK 08-66-MB 07 (Crudo) " u="1"/>
        <s v="TTK 20-22-56-67-85 (Tramedio) + TTK 82 (crudo) " u="1"/>
        <s v="TT 59 (vacía)" u="1"/>
        <s v="TT 20 - 19 - 63 (Crudo) + MAG 15 (Vacía)" u="1"/>
        <s v="TT 21 – 22 – 71 – 80 – 82 – MGT 01 + MAG 34 (Cont.)" u="1"/>
        <s v="TGS 01,02,03" u="1"/>
        <s v="Tragas 1 - 2 - 3" u="1"/>
        <s v="TT 20" u="1"/>
        <s v="TTK 50-66-67 + TTK 58 MB 07-11 (crudo) _x000a_" u="1"/>
        <s v="TT 64-65-05(Crudo)" u="1"/>
        <s v="TTK 20-21-54-64 --82 (Vacías) " u="1"/>
        <s v="TTK 80 – MGT 01 - 12 (vacías) " u="1"/>
        <s v="MAG 04 - 11 - 05 (Cont) + MAG 16 - 09 - 17 (Vacías)" u="1"/>
        <s v="Custodia de barcaza" u="1"/>
        <s v="TT 69 - 56 - 65 - 58 - 20 - 07 (Vacías)" u="1"/>
        <s v="TTK 17-53-56 (crudo) TTK 64 (crudo) - TT 68 (crudo) TT 11 (crudo) " u="1"/>
        <s v="MAG 16-04-26 (Cont) MAG 34(Vacia)" u="1"/>
        <s v="TGS01-02-03" u="1"/>
        <s v="TT 02-11-12 (Crudo)" u="1"/>
        <s v="TTK 62-05 MGB 06 (Vacia)" u="1"/>
        <s v="TT 58-59 MGB 08(Crudo)" u="1"/>
        <s v="MAG 01 (Vacías) -MAG 33-14-13-18-19-30 (bobinas)" u="1"/>
        <s v="MAG 09-12(Palanquillas) MAG 19-33-07-14(Bobinas)" u="1"/>
        <s v="TT05(vacia)" u="1"/>
        <s v="MB 05 - 03 - TT08 (vacías) " u="1"/>
        <s v="MGB 05 - 06 - 07 - 08 - TTK 13 (Vacías) + MAG 09 (Vacía)" u="1"/>
        <s v="TT13-19-21 (" u="1"/>
        <s v="TT 66 - 63 (vacías)" u="1"/>
        <s v="MAG 04 - 05 - 16 (Vacías)" u="1"/>
        <s v="MAG 04 - 11 - 05 (Vacías)" u="1"/>
        <s v="MAG 04 - 16 - 12 (Vacías)" u="1"/>
        <s v="MAG 04 - 16 - 17 (Vacías)" u="1"/>
        <s v="MAG 04 - 16 - 39 (Vacías)" u="1"/>
        <s v="MAG 18 - 25 - 33 (Vacías)" u="1"/>
        <s v="TTK 03-10-63 (nafta) - TTK 71 MGT 02-07 (vacías) " u="1"/>
        <s v="TTK 65-18-56-62-53-16-15 (vacía) MGT 11 (vacías) " u="1"/>
        <s v="MAG 16- 04 (Cont.)" u="1"/>
        <s v="TT 21" u="1"/>
        <s v="TT 15 - 59 - 82 (Crudo) - TT 61 (Vacio) //TT 68 - 72 MB 08(Crudo)- TT 10(Vacio) " u="1"/>
        <s v="MAG 04-16-12(cont) - MAG 31(yeso) - MAG 15-19(tuberias)" u="1"/>
        <s v="TT 03 - 16 - 17 - 50 - 68 - 82 (Crudo)" u="1"/>
        <s v="TT 62 -MB 12 (midland)" u="1"/>
        <s v="Sin Tripulacion" u="1"/>
        <s v="MAG 35 (Big Bag) + TTK 07 - 58 - 60 (Vacías)" u="1"/>
        <s v="TTK 05-11-85 (Midland) TT 69(Nafta) TTK 22- MB 03 + TGS 01 (vacías) " u="1"/>
        <s v="MB 01- 04 -06 (Vacías) – TT 69 - 85 (Nafta)_x000a_TTK 16-17-19-68 MB 05-08 (Vacío) _x000a_" u="1"/>
        <s v="MB 01- 04 -06 (Vacías) – TT 69 - 85 (Nafta) TTK 16-17-19-68 MB 05-08 (Vacío) _x000a_" u="1"/>
        <s v="TT 22 - 18 - 08 - 82 MGT 04 - 02 (Crudo)" u="1"/>
        <s v="MAG 16-04-26 (Cont) MAG 28-06-02-31 (Vacias) + RR Soledad" u="1"/>
        <s v="TT 17-21-67-68-83 (vacías) " u="1"/>
        <s v="TT 12 - 51 - 55 - 62 - 66 MB 01 (Crudo)" u="1"/>
        <s v="TT 68 - MB 11 (Midland)" u="1"/>
        <s v="TT 83 - 57 - 11 - 60 - 54 MGT 04 (Vacías) + MAG 38 (inertizadora) - MAG 08 (Cont)" u="1"/>
        <s v="MAG 04 - 16 (Cont)" u="1"/>
        <s v="TT 03-17-66 (Crudo)" u="1"/>
        <s v="TTK 56-52-65 (crudo)" u="1"/>
        <s v="TTK 85-11-05 (Crudo)" u="1"/>
        <s v="TT 62-02 MGB 06(Crudo)" u="1"/>
        <s v="TT07-55-MAG12(ISO)" u="1"/>
        <s v="MAG 26 (Isotanque) + TT67-80 (Crudo)" u="1"/>
        <s v="MGT 03 - TT 22 - 69 - 85 - 05 - 11 (Crudo)" u="1"/>
        <s v="TT 07 -  71 (nafta) + TT 15 - 10 (Vacías) + TT 82 (Crudo)" u="1"/>
        <s v="TT 21-67-68-83 (vacías) " u="1"/>
        <s v="TT 14" u="1"/>
        <s v="TT 03-68-17 (Crudo)" u="1"/>
        <s v="MAG 18 - 30 (Bobinas) " u="1"/>
        <s v="TTK 20-65-67(Vacío) " u="1"/>
        <s v="TT 71 -14 - MGT 02 (Crudo) + TT 67(vacía)" u="1"/>
        <s v="TT 85 (vacía)" u="1"/>
        <s v="TT 50- 59 MGT 05 (Vacías)+TT 53 - 56 (Crudo) - TG 02 (OGR)" u="1"/>
        <s v="MAG 04 - 16 (cont) - TT 12 (vacía)" u="1"/>
        <s v="TT 18-71-80 (Crudo)" u="1"/>
        <s v="MAG 04-16-39(cont) - TT 14 (vacía)" u="1"/>
        <s v="TGS 1 (Isobutano) - TGS 2 " u="1"/>
        <s v="MGT 05 - TT 57 - 11 (Crudo)" u="1"/>
        <s v="TT 22-50-72 (Nafta) TT 18 MGB 12-04 (Vacia)" u="1"/>
        <s v="MAG 11 (Cont) MAG 04 – 09 - 16 (Cont) - TT 51 (vacía)" u="1"/>
        <s v="TT 57 - 67(Nafta) - TT 11- 20 (Vacio) " u="1"/>
        <s v="TT 14 (Cargada) - MAG 33 (Vacio)" u="1"/>
        <s v="MAG 04 - 16 (Cont.) - MAG 26 - 11 (Vacías)" u="1"/>
        <s v="MGT 08 - 12 TTK 03 (Vacías)" u="1"/>
        <s v="TT 04 - 15 - 21 (vacia)" u="1"/>
        <s v="MAG 18 - 25 (Coal) - MAG 33" u="1"/>
        <s v="MAG 30 (bobinas)" u="1"/>
        <s v="MB 01-07-06 (crudo)" u="1"/>
        <s v="TT 51-61 (Vacia)" u="1"/>
        <s v="TT 66 - 58 (Crudo) - MAG 08 (Cont)" u="1"/>
        <s v="TT 14 - 19 - 21 - 54 - 85 (Vacio) + R San Pablo" u="1"/>
        <s v="TTK 14 (Cargada) - MAG 09 - TTK 21 (Vacía)" u="1"/>
        <s v="TT 02 - 16 - 64 - 71 (tramedio)" u="1"/>
        <s v="TTK 04-15-21 (Diésel) " u="1"/>
        <s v="MAG 04 - 16 - 09 (Cont)" u="1"/>
        <s v="MAG 13 – 22 – 30 + 25 (vacías)" u="1"/>
        <s v="TT 21 - 61 (diesel)" u="1"/>
        <s v=" TTK 08-15 MGT 08 (Crudo)" u="1"/>
        <s v="TTK 14 (Vacía) TTK 85 - 80 - 63 - 67 - MGB 12 (Crudo)" u="1"/>
        <s v="MGB 12 - TTK 18 (Crudo)" u="1"/>
        <s v="TTK 50 - 18 - 22 - 72 - MGB 04 - 12 (Crudo)  - TTK 51 (Vacía)" u="1"/>
        <s v="TT 05-18-63 (crudo) " u="1"/>
        <s v="TT 07-08-69 (crudo) " u="1"/>
        <s v="TT 11-66-80(Tramedio) + MAG 09(Iso)" u="1"/>
        <s v="TGS01 (OGR) + TT 71 – 68 – 52 – 19 – 07 (Crudo) " u="1"/>
        <s v="MGB 11-02 TT 20 (Midland)" u="1"/>
        <s v="Remolcado por el R Soledad" u="1"/>
        <s v="TT 19-58-07 (Crudo)" u="1"/>
        <s v="MGB 11 - 07 TTK 58 (Crudo)" u="1"/>
        <s v="TGS 01 (OGR) TGS 02-03(Vacia)" u="1"/>
        <s v="MGT 07 (Crudo) TT 05 - 22 (Crudo) " u="1"/>
        <s v="TTK 65 (Nafta) TTK 52-56 MGB 03(Vacia) + RR Mompox" u="1"/>
        <s v="TT 15 - 73 (Nata) - TG 02 (vacio)" u="1"/>
        <s v="TT 17 – 58 (Crudo) TT 64 – 68 (Crudo) " u="1"/>
        <s v="MAG 18 (Coal) - MAG 05 (Cont) +  TTK 04-15-61 (vacía) " u="1"/>
        <s v="TT 03 - 63-71 MGT  02 -07 - 12 (crudo) " u="1"/>
        <s v="TT 03 – 17 – 50 – 66 – 67 – 83 (Crudo) " u="1"/>
        <s v="TT 55-17 (Crudo) TT 01 (Vacia)" u="1"/>
        <s v="TTK 65-18-56-62-53-16-15 (vacía) MGT 11 (vacías)." u="1"/>
        <s v="TTK 01 (vacía) + TTK 05-82 (crudo) " u="1"/>
        <s v="TTK 20-54-60-82-07 -MGT 04 (Crudo) " u="1"/>
        <s v="TT 65 - 07 - 56 (Crudo) + MAG 35 (Vacía) + RR Puerto Salgar - RR Banco" u="1"/>
        <s v="MGT 06 - TT 65 - 53 (Crudo)" u="1"/>
        <s v="MAG 09-12 (Palanquillas)" u="1"/>
        <s v="MAG 35 (cargada)" u="1"/>
        <s v="TT 13 - 54 - 60" u="1"/>
        <s v="TTK 19-59-66-72 + TTK 04 -15 (Cargada) + MAG 17 (Cont)" u="1"/>
        <s v="TTK 02-12-16-55 (Midland) - TTK 08 (nafta) + MAG 03 (plaster)" u="1"/>
        <s v="MAG 04 - 16 - 39 (Cont)" u="1"/>
        <s v="TK 17-21-64 04-85-MB12(crudo) " u="1"/>
        <s v="TT 50-72 (Nafta) TT 18 (Vacia)" u="1"/>
        <s v="MAG 04-16 (cont) - TT 14 (vacía)" u="1"/>
        <s v="TT 02-72-MGT 06 (Vacías)" u="1"/>
        <s v="TT 08 - 82 - 22 (Vacías)" u="1"/>
        <s v="TT 09 - 10 - 61 (Vacías)" u="1"/>
        <s v="MGT 08 - TT 72 -85 (crudo)" u="1"/>
        <s v="TT 58 - 82 - 68 -20 - MGT 11 (Vacías)" u="1"/>
        <s v="TT19-63-73(midland)" u="1"/>
        <s v="TT 09-10-61 (Vacias) MAG 18-25 (Carbon)" u="1"/>
        <s v="TTK 17-53-56--64-(Vacio) " u="1"/>
        <s v="TT 54-60-13-64(Traliviano)" u="1"/>
        <s v="TTK 21 - 60 MGT 01 (Midland)" u="1"/>
        <s v="MAG 04-08-16 (cont)" u="1"/>
        <s v="MAG 04-11-16 (Cont)" u="1"/>
        <s v="MAG 04-12-16 (cont)" u="1"/>
        <s v="MAG 05-04-16 (Cont)" u="1"/>
        <s v="MAG 08-12-16 (Cont)" u="1"/>
        <s v="MAG 11-04-16 (Cont)" u="1"/>
        <s v="MAG 12-04-16 (Cont)" u="1"/>
        <s v="TT 05 - 83 - 85 - MB 03 - 06 - 07(Crudo)" u="1"/>
        <s v="MAG 28 - 03 (trigo)" u="1"/>
        <s v="TT 80 - MGT 01 - 12 - 02 - 03 (Vacías)" u="1"/>
        <s v="MAG 18 - 37" u="1"/>
        <s v="MAG 16-04-26 (Cont)" u="1"/>
        <s v="TT 13 - 21 - 71 (Vacio)" u="1"/>
        <s v="MGB 06-08-04 TT 04-65-71-53-15 (Vacia)" u="1"/>
        <s v="TT 14-19-22 (Crudo) " u="1"/>
        <s v="MB 01 - TT 13 - 21 ( crudo)" u="1"/>
        <s v="MAG 09 (v) - TT 56 (naf)" u="1"/>
        <s v="MAG 04-16 (Cont) MAG 09 TTK 12-68 MGT 04 (vacías) " u="1"/>
        <s v="TT 05 - 13 (Vacio)+MAG 05 (Cont) " u="1"/>
        <s v="MAG 19 - 21(Bobinas) - MAG 01-13-18-25(Vacio)" u="1"/>
        <s v="TTK 82 + TTK 63 - MB 02 + TTK 04-15 (vacías) + MAG 08 (contenedores) " u="1"/>
        <s v="MGT 08 – 05 - 07 (Crudo) TTK 54-60-71 (crudo) " u="1"/>
        <s v="TGS 3 (Vacía)" u="1"/>
        <s v="TT 85 - 69 (Nafta) - MGT 06 - 04 (Vacía) - TT 14 (Cargada)" u="1"/>
        <s v="MAG 03(Maiz) - 23 (Vacias)" u="1"/>
        <s v="MAG 04 – 08 - 09 – 16 (Cont.) – MAG 03(Vacío) " u="1"/>
        <s v="TT 64-65-05(Crudo) TT 09(Vacia)" u="1"/>
        <s v="TTK 71 + MGT 12 – 05 - 07 - 02-08 (Vacía)" u="1"/>
        <s v="MAG 16- 04 (Vacia)" u="1"/>
        <s v="TT 85-11-16-18-02 MGB 05(Vacia)" u="1"/>
        <s v="Tragas 1 -2 - 3" u="1"/>
        <s v="TGS 01-02-03 (butano)" u="1"/>
        <s v="TT  05 - 72 (Crudo)-MAG 39 (Cont)" u="1"/>
        <s v="TTK 65 - 22 - 18 - 72 (Vacía)" u="1"/>
        <s v="MGB 12 - TTK 18 (Crudo) + TTK 57 - 50 - 52 (Crudo)" u="1"/>
        <s v="MAG 04 - 12 - 16- 34 (Cont)" u="1"/>
        <s v="MAGFUEL" u="1"/>
        <s v="TT 04 - 19 (nafta) - TT 65 - MB 08 - 11 (Vacio)" u="1"/>
        <s v="TTK 62-66-80 (Nafta)" u="1"/>
        <s v="TTK 03-17-68 + 16 MGB 01 (S) " u="1"/>
        <s v="TT 08 - 82 - 22 (Vacías) + RR Calamar" u="1"/>
        <s v="MGT 11 + TTK 11 - 18 - 66 - 72 - 63 (Crudo) + MAG 08 (Cont.)" u="1"/>
        <s v="MAG 04-08-16(cont) " u="1"/>
        <s v="TT 14 - 72 - 05 (Vacías)" u="1"/>
        <s v="TT 19-72 MGT 06 (Vacías)" u="1"/>
        <s v="MAG 13 - 30 (Vacías)" u="1"/>
        <s v="MAG 21 - 15 (Vacías)" u="1"/>
        <s v="TT 12 - 55 - 64 (Vacio)" u="1"/>
        <s v="TTK 73 - MGB  06 (vacias)" u="1"/>
        <s v="TT 10 (Vacía) TTK 83 - 85 (Crudo)" u="1"/>
        <s v="TTK 72 - 73 - 59 - 58 - 22 - 80 (Nafta)" u="1"/>
        <s v="TT 59 - 68 - 72 - 82 (Nafta)" u="1"/>
        <s v="TT02-72-MGT06 (Vacías)" u="1"/>
        <s v="TTK 08 - MGT 02 (crudo) + MAG 26 (isos) " u="1"/>
        <s v="MB 07 - 11 TT 19-50-58-63 (Crudo)" u="1"/>
        <s v="TT 66 - 63 - 72 (Crudo) + MAG 08 (Cont)" u="1"/>
        <s v="TT 57 - 67(Nafta) - TT 11 - 12 - 20 (Vacio) " u="1"/>
        <s v="TT 71-65-04(Nafta) TT 02 MGB 04-06(Vacias)" u="1"/>
        <s v="TT 51-14 (Gsl)" u="1"/>
        <s v="TT 11 - 16 - 85 (Vacio)" u="1"/>
        <s v="TT 72 - 63 - 66 - 18 - 11 MGT 11 (Crudo)" u="1"/>
        <s v="TT 22-60-67 (Crudo) " u="1"/>
        <s v="MAG 04-12 (cont) - TT 07 (vacía)" u="1"/>
        <s v="TTK 05-69 (nafta) - TT 71 (Vacía) " u="1"/>
        <s v="TT 02 (Vacías) - TT 05 - 63 (Nafta)- 72(Vacia)" u="1"/>
        <s v="TTK 03 - 07 - 19 - 20 - 63 MGT 08 (Vacío) – TGS 1 (vacía) " u="1"/>
        <s v="TTK 03 MGT 02 - TTK 63-71 MGT 07 (Crudo) - TGS 02 (vacía) " u="1"/>
        <s v="TT 19 (Vacio)" u="1"/>
        <s v="TT 58–11-MGT 11(vacías) " u="1"/>
        <s v="MAG 04 - 16 - 17 - 34 (Cont)" u="1"/>
        <s v="MAG 16 - 04 - 26 - 34 (Cont)" u="1"/>
        <s v="TT 56 - MB 12 (crudo) - TGS 02 (OGR)" u="1"/>
        <s v="TTK 19-51-54-60-82 MGT 04 (crudo)" u="1"/>
        <s v="TT 63 - 19 - 20 (Crudo) + MAG 15 (Vacía)" u="1"/>
        <s v="TT 65 - 07 - 56 (Crudo) + MAG 35 (Vacía)" u="1"/>
        <s v="TTK 18-60 (crudo) + MAG 38 (Inertizadora) " u="1"/>
        <s v="TT 20 - 58 - 82 (Vacio)" u="1"/>
        <s v="TT 51 (vacía) - MAG 13 (vacía)" u="1"/>
        <s v="TTK 62-83-68-73-53 (Vacía) MGT 07 (Vacía)" u="1"/>
        <s v="TTK 58 – 68 – MGB 11 (crudo)" u="1"/>
        <s v="MAG 19(Bobinas) MAG 07 - 14 - 33 (Vacio)" u="1"/>
        <s v="MAG 4 - 16 (Cont) + MAG 38 (inertizadora)" u="1"/>
        <s v="TT 58 (Nafta) - MGT 07 (Vacía)" u="1"/>
        <s v="TTK 65-71 (Crudo) + MAG 34 (Cont)" u="1"/>
        <s v="Remolcado por el R Capulco" u="1"/>
        <s v="TTK 17– 54 – 85 (vacía) - TT 83 (Crudo) TT 62 (Crudo) MGB 07 (crudo)_x000a_" u="1"/>
        <s v="Magfuel " u="1"/>
        <s v="MAG 04 - 16" u="1"/>
        <s v="TTK 72 - 71 - 02 -14 - MGT 02 - MB 06 (vacía)" u="1"/>
        <s v="TT 20 - 03 - 68 (Nafta) MGB 06-08-04 (Vacio)-MAG 34 (Cont)" u="1"/>
        <s v="MAG 11-04-16 (Cont) " u="1"/>
        <s v="MAG 04-12-16 (cont) 12- TT 53 (vacías)" u="1"/>
        <s v="MAG 05 - 16 - 04 (Cont.) MAG 26 Vacía)" u="1"/>
        <s v="TT 03(Nafta) MAG 11 (Cont) TT 83-08(Vacia)" u="1"/>
        <s v="TTK 63 - 82 - 85 - 83 (Nafta) + MGB 03 (Vacía) + TTK 09 - 10 - 61 (Cargada)" u="1"/>
        <s v="MB 04-05-08(crudo) " u="1"/>
        <s v="TTK 07-08-50-52-57-71 (nafta) " u="1"/>
        <s v="TTK 16-17-53-56-67-85 (nafta) " u="1"/>
        <s v="TTK 17-53-56-64-68-11 (Nafta) " u="1"/>
        <s v="TT 01 – 14 (gsl) – MAG 17 (cont vacíos) " u="1"/>
        <s v="TTK 72 - 71 - 02 -14 - MGT 02 - MB 06 (vacía) " u="1"/>
        <s v="MAG 04 - 16 (Cont) MAG 08 (vacia) " u="1"/>
        <s v="TT 69 - 05 - TGS 01 (Vacías)" u="1"/>
        <s v="TTK 53-63-80 + MGB 02-04-05-11-12 (Crudo)" u="1"/>
        <s v="TT 05-63 (crudo) 5.3FT – MAG 39 (cont) 4.5FT. " u="1"/>
        <s v="TT 20 - 68 - 08 (Vacías)" u="1"/>
        <s v="TTK 62-83-68-73 (Vacía) " u="1"/>
        <s v="TT 61" u="1"/>
        <s v="TT 69 - 71 " u="1"/>
        <s v="MAG 04-16(vacías)" u="1"/>
        <s v="TT 02 - 55- 63 (vacio)" u="1"/>
        <s v="TT 11-65-67(crudo) " u="1"/>
        <s v="TTK 63 - 82 - MGB 03 (Crudo)" u="1"/>
        <s v="TTK 83-85-63-82-MB03 (crudo)" u="1"/>
        <s v="MAG 04 - 12 - 16- 34" u="1"/>
        <s v="TT 52 (Crudo)" u="1"/>
        <s v="MAG 04 - 12 - 16 (Cont) -MAG 34 (Vacía)" u="1"/>
        <s v="MAG 05-04-16 (Cont) - MAG 26-34 (vacía)" u="1"/>
        <s v="MGB 06-07-08 TTK 02-13 (Crudo) " u="1"/>
        <s v="TTK 07-12-72-18-02-69-22-05 (crudo)" u="1"/>
        <s v="TTK 14 (Vacía) - MAG 08 (Vacía)" u="1"/>
        <s v="TT 69 - 08 - 20 - 58 - 12 MGT 02 (Crudo)" u="1"/>
        <s v="TT 08 -18 - 83 - MB 07(Vacio)" u="1"/>
        <s v="TTK 05-12-69--82-22 (nafta) TTK 71 (Vacía) " u="1"/>
        <s v="TT 85 - 72 - 11 - 16 - 50 - 59 - 57 MGB 08" u="1"/>
        <s v="MAG 04-12-16-26(cont) - MAG 01-13-22(vacías) " u="1"/>
        <s v="MGB 12 - TTK 18 (Crudo) + TTK 51 (Vacías) + TTK 57 - 50 - 52 (Crudo)" u="1"/>
        <s v="MGT 03 – 08 + TT 71 (Midland)" u="1"/>
        <s v="TT 05 - MB 01(Crudo) TG 02 (Vacio)" u="1"/>
        <s v="TT 14 - TT 85 - TT 21 (Crudo) MAG 03 (vacia) " u="1"/>
        <s v="TT 15 - 16 - 56 - 65 (Vacio)" u="1"/>
        <s v=" TTK 55-57-63-17-07-01-09 MB 11 (Vacías)" u="1"/>
        <s v="TT 18-55-60 (Nafta" u="1"/>
        <s v="TT 62" u="1"/>
        <s v="MGT 11 - TT 68 - TT 58 (Crudo)" u="1"/>
        <s v="MAG 04-16 (Cont) – MAG 38 (Inertizadora) " u="1"/>
        <s v="TT 53 (Crudo)" u="1"/>
        <s v="TT 09-10 (vacías)" u="1"/>
        <s v="TT50-52(traliviano)" u="1"/>
        <s v="TT60-64(traliviano)" u="1"/>
        <s v="TT 72 – 69 (vacías) " u="1"/>
        <s v="TT 16 -65(Crudo) - TGS 02 (OGR)- MAG 25 (Vacio)" u="1"/>
        <s v="TGS 3 (OGR)" u="1"/>
        <s v="TT 07 - 71 (Nafta)" u="1"/>
        <s v="TTK 04 - 15 (Carg. GSL)" u="1"/>
        <s v="TT 56 - 80 - MGT 06 (vacía) " u="1"/>
        <s v="TT 11 – 18 – 80 MGT 11 (vacías" u="1"/>
        <s v="TTK 05-11-85 (Midland) TT 69(Nafta) TTK 22- MB 03 + TGS 01 (vacías) + MAG 21 (pipes) " u="1"/>
        <s v="MAG 34 + RR Puerto Salgar" u="1"/>
        <s v="MAG 33 (Coal)" u="1"/>
        <s v="TT 63 MGT 05 - 08 (vacías)" u="1"/>
        <s v="TT 65 - 05 MGT 06 (Vacías)" u="1"/>
        <s v="TGS 1 - 2 - 3 (Butano)" u="1"/>
        <s v="MAG 21-15 (Vacias)" u="1"/>
        <s v="TTK 02-53-55 (crudo) " u="1"/>
        <s v="TTK 03-63-80 (crudo) " u="1"/>
        <s v="TTK 07-20-72 (crudo) " u="1"/>
        <s v="TTK 11-12-20 (crudo) " u="1"/>
        <s v="TTK 12-56-68 (crudo) " u="1"/>
        <s v="TTK 16-51-72 (crudo) " u="1"/>
        <s v="TTK 16-58-66 (crudo) " u="1"/>
        <s v="TTK 16-67-85 (crudo) " u="1"/>
        <s v="TTK 17-21-68 (crudo) " u="1"/>
        <s v="TTK 18-56-62 (crudo) " u="1"/>
        <s v="TTK 20-11-05 (crudo) " u="1"/>
        <s v="TTK 52-56-65 (crudo) " u="1"/>
        <s v="TTK 72-73-80 (crudo) " u="1"/>
        <s v="Custodia de Brcazas" u="1"/>
        <s v="TT 53-69-17-08 MGT 05-03 (Crudo)" u="1"/>
        <s v="MAG 05 (cont)" u="1"/>
        <s v="TT55 - MGT 04 -03 (vacías) " u="1"/>
        <s v="TT 22 - 57 - 60 - 67 MGT 02 - 06 (Vacías) " u="1"/>
        <s v="MAG 04 - 08 - 09 - 16 (cont)-MAG 03(Vacia)" u="1"/>
        <s v="TTK 13-18-73 (Vacías)" u="1"/>
        <s v="TTK 07 - 20 - 72 - 53 - 55 MGT 11 (Crudo)" u="1"/>
        <s v="TT 68 (Vacio)- MB 11 (Midland)" u="1"/>
        <s v="MGT 11 (vacías) TTK 55-57-62-65-83 (nafta) " u="1"/>
        <s v="TT 57 - 55 - 15 - 64 - 17 - 11 (Crudo)" u="1"/>
        <s v="MB 11 - TT 68 (Vacio)" u="1"/>
        <s v="TTK 03(Nafta) TTK 50-17(Vacia)" u="1"/>
        <s v="TT 56 – 53 - 17 (Crudo) + R San Pablo" u="1"/>
        <s v="TTK 07 - 20 - 72 - 53 - 55 MGT 11 (Crudo)._x000a_TTK 63-80-68 (Natfa)._x000a_" u="1"/>
        <s v="Traliviano TT 13-60-54" u="1"/>
        <s v="TTK 53 - 56 - MGB 07 (Crudo)" u="1"/>
        <s v="TT 66 - 63 (vacías) + TT 53 - MGT 07 (Vacías)" u="1"/>
        <s v="MAG 04 - 05 - 16 (Cont.) + TT 04 (vacía)" u="1"/>
        <s v="MAG 04 - 16 - 17 (Cont) + MAG 34 (Vacía)" u="1"/>
        <s v="MAG 16 - 04 - 26 (Cont) - MAG 34 (Vacía)" u="1"/>
        <s v="TTK 08-22-82 + TTK 71 MGT 02-04 (crudo) " u="1"/>
        <s v="TTK 12 – 13 -21 MGT 01 – 03 -12 (crudo) " u="1"/>
        <s v="TTK 58-68 MGT 11 + TTK 20-80-82 (crudo) " u="1"/>
        <s v="TT 69 - 71 (diesel)" u="1"/>
        <s v="MAG 09-26-39 (conts) + MAG 01-13-22 (vacías)." u="1"/>
        <s v="TT17-53-69 (vacías) " u="1"/>
        <s v="TTK 52-56-65 (crudo) + TTK 04-15-61 (vacía) " u="1"/>
        <s v="MB 05- 08  TT 17 - 52 – 53 - 85 -  58 - 66 (vacías) " u="1"/>
        <s v="TTK 02-05-08-55-62-65-67 - MGB  (vacías)" u="1"/>
        <s v="MAG 04 -11- 16 " u="1"/>
        <s v="TT 58-19-66 (Crudo)" u="1"/>
        <s v="TT 51 – 09 - 14 – 22 - 01 - 61 - 15 – 73 (Nafta)" u="1"/>
        <s v="TTK 56-62-65 -MGT 03 - 06 (crudo) MAG 09 (Cont.)" u="1"/>
        <s v="MAG 04 - 16 - 11 - 26" u="1"/>
        <s v="TTK 07 MB 01 TTK 52 (Midland) " u="1"/>
        <s v="TT 82-15 (Nafta)" u="1"/>
        <s v="TTK 12 (nafta) TTK 51-55-62-66 MGT 01 (Vacías) + RR Banco" u="1"/>
        <s v="TTK 03 MGT 02-12 (crudo)" u="1"/>
        <s v="TTK 18 - 19 - 22 (Crudo)" u="1"/>
        <s v="TT 51 - 64 - 03 - 62 - 55 - 65 (Crudo)" u="1"/>
        <s v="MAG 33-25 (Coal)" u="1"/>
        <s v="TT 50-22-18 (Crudo)" u="1"/>
        <s v="TT 67-11-20 (Crudo)" u="1"/>
        <s v="TT 68-03-20 (Crudo)" u="1"/>
        <s v="TT 01 (Vacia)" u="1"/>
        <s v="TT  64 – 82 - 54 (crudo) " u="1"/>
        <s v="TT 14 - TT 85 - TT 21 (Crudo)" u="1"/>
        <s v="TT 04-67 (vacías) " u="1"/>
        <s v="MAG 08-12-16-26," u="1"/>
        <s v="MAG 04 - 16 " u="1"/>
        <s v="TT 02-12-MB 6 (crudo)" u="1"/>
        <s v="TT 02-73-MB06 (crudo)" u="1"/>
        <s v="TTK 54 TTK 13 -21 MGT 01 TTK 60 MGT 12 (Midland) " u="1"/>
        <s v="MAG 04-16 (Vacio)" u="1"/>
        <s v="TT 56 - 85 - 16 - 53 - 67 - 17 (Crudo)" u="1"/>
        <s v="TTK 07 - 71 (Nafta)" u="1"/>
        <s v="TT07-21-61(diesel)" u="1"/>
        <s v="TTK 03 - 17 - 68 - 16 - MGB 01 (Crudo) + TTk " u="1"/>
        <s v="MAG 04 - 16 (Cont) - MAG 11 (Vacia)" u="1"/>
        <s v="MGT 12 - TTK 16 - TTK 64 - MGT 08 (Crudo)" u="1"/>
        <s v="TTK 18 - 52 (Nafta)" u="1"/>
        <s v="TT 82 - 22 - MGT 04 (Vacías)" u="1"/>
        <s v="TT 82 - MGT 12 - 02 (Vacías)" u="1"/>
        <s v="MAG 04 – 08 - 09 – 16 (Cont.)" u="1"/>
        <s v="MAG 04 – 08 – 16 - 26 (Cont.)" u="1"/>
        <s v="TT 02-16 - 58-66 MGT 05 -11 (crudo) _x000a_" u="1"/>
        <s v="MAG 11-04-16 (Cont) TT 21-04-15 (Vacia)" u="1"/>
        <s v="TT 50 – 52 – 59 – 66 – MB 05 - 07 (Crudo) - MAG 11 (Cont.) + R Calamar " u="1"/>
        <s v="TT 66 - 80 - 67 - 83 - 52 - 62 (Crudo)" u="1"/>
        <s v="TT 68 - MGT 4 - 5 - 8 - 3 - 12 (Crudo)" u="1"/>
        <s v="TT 02 - 69  + MGT 06 (Vacías)" u="1"/>
        <s v=" TT 19-50-58(Crudo)" u="1"/>
        <s v="TT 69-05-85 (Crudo)" u="1"/>
        <s v="TTK 08-22-82 + TTK 71 MGT 02-04 (crudo) + MAG 23 (vacía) " u="1"/>
        <s v="58-66 MGT 11 (crudo) " u="1"/>
        <s v="MAG 04-16 (Vacías)" u="1"/>
        <s v="TTK 52-73 (Crudo) + Tragas 03 (OGR)" u="1"/>
        <s v="TT11-12-20-57-MB4(vacías)" u="1"/>
        <s v="MAG 04 - 05 - 08 - 11" u="1"/>
        <s v="TTK 17– 54 – 85 (vacía) + RR Capulco " u="1"/>
        <s v="TTK 55- 73 + 18-60 (crudo) + MAG 38 (Inertiz) + TGS 03 " u="1"/>
        <s v="TTK 10 (Vacía)" u="1"/>
        <s v="TTK 62-83-68-73-53 (vacía) MGT 07 (vacía) TT 19 - TT 21 - TT 14 (Crudo) - TTK 13-54-85 (crudo)" u="1"/>
        <s v="MAG 11 (cont)" u="1"/>
        <s v="TT 51 - 61 (Cargadas) " u="1"/>
        <s v="MAG 07- 13 - 33 - 14 (Bobinas)" u="1"/>
        <s v="MAG 15 - 30 - 14 -22 (Bobinas)" u="1"/>
        <s v="TTK 59-56 (Crudo) TT 68-03-20 (Crudo)+ MAG 34 (Cont.)" u="1"/>
        <s v="TTK 567 - 08 - 65 - 02 - 07 - 55 - 05 - MGB 06 (Crudo)" u="1"/>
        <s v="TTK 50 - 57 (Nafta)" u="1"/>
        <s v="TTK 72 - MGB 12 (Crudo) - TTK 51 (Vacía)" u="1"/>
        <s v="TTK 19-63 + MB 01 (Crudo) +TTK 02-MB 04-06(Vacía) " u="1"/>
        <s v="MB 04 – 02 (crudo) MAG 03 (Vacía) TT 71 (crudo) " u="1"/>
        <s v="MB 05(crudo) TT 17 - 52 – 53 -  58 - 66 (crudo) " u="1"/>
        <s v="MAG 16 - 04 (cont) - 26 - 34 (vacías)" u="1"/>
        <s v="MGT 06 - TT 57 (Crudo)" u="1"/>
        <s v="TTK 02-55-53 - 13-18-73 (Vacías)" u="1"/>
        <s v="TT 53 - 56 – 17 – 58 – 64 – 68 (Crudo) " u="1"/>
        <s v="TT 50 - 67 (Nafta)" u="1"/>
        <s v="MAG 01-07-13-14-18-30-33 (Vacías) -MAG 19 (bobinas)" u="1"/>
        <s v="MAG 01-07-14-33 (Vacías) -MAG 13-18-19-30 (bobinas)" u="1"/>
        <s v="TTK 13 - 67 - 57(vacías) " u="1"/>
        <s v="MAG 04-16 (cont) TT 15 (vacia) " u="1"/>
        <s v="TT 07 - 22 - 56 - 67 - 85 (Vacio)MAG 09-12 (Palanquillas)" u="1"/>
        <s v="MAG 05- 09 - 39(vacías)" u="1"/>
        <s v="TTK 50 - 52 - 59(Traliviano) " u="1"/>
        <s v="TT 50 - 58 - 63 (vacio)" u="1"/>
        <s v="TT 71-69-82 (Crudo)" u="1"/>
        <s v="TTK 61(Vacía) TTK 58-66 (Crudo) " u="1"/>
        <s v="TTK 67-80-85(crudo)" u="1"/>
        <s v="MAG 04-09-11-17 (cont) + TTK 69 – TT 53 – TT 71 (vacías)" u="1"/>
        <s v="MAG 09 - 17 (Cont) - MB 06 - 07(Crudo)" u="1"/>
        <s v="TTK 02-16 MGT 11 (crudo) " u="1"/>
        <s v="TTK 05-71 MGT 05 (crudo) " u="1"/>
        <s v="TTK 05-71 MGT 07 (crudo) " u="1"/>
        <s v="TTK 08-69 MGT 02 (crudo) " u="1"/>
        <s v="TTK 11-18 MGT 11 (crudo) " u="1"/>
        <s v="TTK 12-20-58 -69 (crudo) " u="1"/>
        <s v="TTK 13 - 18 - 73 (Crudo) " u="1"/>
        <s v="TTK 18-08 MGT 02 (crudo) " u="1"/>
        <s v="TTK 19-51 MGT 04 (crudo) " u="1"/>
        <s v="TTK 56-62 MGT 03 (crudo) " u="1"/>
        <s v="TTK 56-62-MGT 03 (crudo) " u="1"/>
        <s v="TTK 58-66 MGT 05 (crudo) " u="1"/>
        <s v="TTK 58-66 MGT 11 (crudo) " u="1"/>
        <s v="TTK 65-80 MGT 06 (Crudo) " u="1"/>
        <s v="TTK 68 - 73 - 53 (Crudo) " u="1"/>
        <s v="TT 66 - 71 - 22 - 08 - 82 MGT 04 (vacías)" u="1"/>
        <s v="TTK 02-53-55 (vacías) " u="1"/>
        <s v="TTK 04-11-19 (Vacías) " u="1"/>
        <s v="TTK 04-15-61 (vacías) " u="1"/>
        <s v="TTK 07-54-60 (vacías) " u="1"/>
        <s v="TTK 07-55-60 (vacías) " u="1"/>
        <s v="TTK 07-56-85 (vacías) " u="1"/>
        <s v="TTK 08-15-22 (vacías) " u="1"/>
        <s v="TTK 11-15-57 (vacías) " u="1"/>
        <s v="TTK 14-19-51 (vacías) " u="1"/>
        <s v="TTK 14-19-71 (vacías) " u="1"/>
        <s v="TTK 16-17-83 (vacías) " u="1"/>
        <s v="TTK 16-58-66 (vacías) " u="1"/>
        <s v="TTK 17-55-57 (vacías) " u="1"/>
        <s v="TTK 18-55-73 (vacías) " u="1"/>
        <s v="TTK 21-14-19 (vacías) " u="1"/>
        <s v="TTK 21-54-82 (vacías) " u="1"/>
        <s v="TTK 54-60-07 (Vacías) " u="1"/>
        <s v="TTK 56-62-68 (vacías) " u="1"/>
        <s v="TTK 21-54-64 -20-82 (Vacías) TT -56-68-62 (Vacio) " u="1"/>
        <s v="TTK 65 (Nafta) TTK 52-56 MGB 03(Vacia)" u="1"/>
        <s v="MAG 01 (Vacía) - MAG 18 (Descaragando) -MAG 33-14-13-19-30 (bobinas)" u="1"/>
        <s v="TT 20 - 22 MB 08 (Crudo)" u="1"/>
        <s v="TT 03 - 20 - 83 (Crudo)" u="1"/>
        <s v="TTK 18-22-50-52 (nafta) + MGB 12 (vacía) " u="1"/>
        <s v="TTK 02 - 57 - 67 (Vacías)" u="1"/>
        <s v="TTK 02-16 MGT 05 (vacías)" u="1"/>
        <s v="TTK 08 MGT 05-08 (vacías)" u="1"/>
        <s v="TTK 08-MGT 08-05 (Vacías)" u="1"/>
        <s v="TTK 16 – 51 – 53 (vacías)" u="1"/>
        <s v="TTK 20 - 11 - 12 (Vacías)" u="1"/>
        <s v="TTK 20-82 MGT 04 (vacías)" u="1"/>
        <s v="TTK 55-65 MGT 01 (vacías)" u="1"/>
        <s v="TT 13-54-60" u="1"/>
        <s v="TTK 18 - 12 – 21 - MGT 01 - 03 - 12 (crudo) " u="1"/>
        <s v="TT 52 - 73 - 68 - 20 (Crudo)" u="1"/>
        <s v="TT 50 - 63 - 58 - 19 - MGT 07 - 11 (Vacías)" u="1"/>
        <s v="TT 51 - 61 (Cargadas) + TT 01 - 14 (Vacías)" u="1"/>
        <s v="TTK 66-58-19 (Nafta)" u="1"/>
        <s v="TT 57 – 54 (Crudo) MG 08 (Crudo)" u="1"/>
        <s v="TTK 07 - 20 - 72 - 53 - 55 MGT 11 (Crudo) / TTK 02-13-65 (crudo)_x000a__x000a_" u="1"/>
        <s v="TT 73 – 83 -11-66- TT 62-80 (Nafta) MB 01 (vacía) - TT 55 (vacía) " u="1"/>
        <s v="TT 05 – 08 - 22 (Crudo) MGT 07 – 05 – 08 (Crudo) " u="1"/>
        <s v="Tragas 01,02,03 (Tragas)&quot;" u="1"/>
        <s v="MGB 12-02 TTK 80-20(Vacias)" u="1"/>
        <s v="TT 50-18-55-57-08 MGB 07(Crudo) TGS 03(OGR)" u="1"/>
        <s v="TT 14 - 58 - 80 (Crudo)" u="1"/>
        <s v="TT 13 - 54 - 60 (Traliviano)" u="1"/>
        <s v="TT 13 - 60 - 64 (Traliviano)" u="1"/>
        <s v="TT51" u="1"/>
        <s v="TT 03 -64 (Nafta)" u="1"/>
        <s v="TT 18 - 56 - 66(Vacio)" u="1"/>
        <s v="TG 03(Vacía) TT 58 (Vacía) - TTK 16 – 67 – 85 (Midland) + MAG 05 – 09 – 39 (Cont) " u="1"/>
        <s v="MAG 09-26-39(cont)" u="1"/>
        <s v="MAG 04 - 12 - 16 (Cont) - MAG 05 (Vacio)" u="1"/>
        <s v="TTK 16 - 68 - 17 - 19 - MGT 08 - 05 (Vacías)" u="1"/>
        <s v="TTK 02-13 (Crudo) + TTK 09 (Vacia) + RR Puerto Triunfo" u="1"/>
        <s v="MAG 03 – 04 – 23 (Vacio) " u="1"/>
        <s v="MAG 39 (ISOS) + TTK 08 MGT 02 (vacías) " u="1"/>
        <s v="TTK 58-66 - 16-51-72 - MGT 11 (crudo)" u="1"/>
        <s v="TT 03 – 20 – 80 – 83 – MB 02 – 12 (crudo) " u="1"/>
        <s v="TT 05 – 08 - 22  MGT 07 – 05 – 08 (Crudo) " u="1"/>
        <s v="TT 03 - 64 - 65 (Crudo)" u="1"/>
        <s v="TTK 11-15-57(vacías)" u="1"/>
        <s v="TTK 04 MGT 02 – 12 (Vacías) " u="1"/>
        <s v="TTK 07-54-60-64-82 (vacías) " u="1"/>
        <s v="TTK 13-18-20-55-73 (vacías) " u="1"/>
        <s v="TT 59-66-58-73-72-22 (Crudo)" u="1"/>
        <s v="TTK 03-67-83 (Nafta)  + RR  Triunfo" u="1"/>
        <s v="TTK 55-57-59-62-83-MB 05-TGS 03 (vacías)." u="1"/>
        <s v="MB 02 - TT 08 - 18- 20 (vacías) " u="1"/>
        <s v="TTK 03 - 68 - 16 Nafta+ MGB 03 - 01 - TTK 50 - 82 - 17 (Vacías)" u="1"/>
        <s v="TT 11 - 16 - 83 -MB 11 (Vacias)" u="1"/>
        <s v="TTK 65 (Nafta) TTK 13-18 (vacías) " u="1"/>
        <s v="TT 69" u="1"/>
        <s v="TTK  04-65-71 (Nafta)" u="1"/>
        <s v="Tragas 01,02,03" u="1"/>
        <s v="TT 12 - 22 - 72 (Crudo)" u="1"/>
        <s v="TT 15 - 14 - 22 (Crudo)" u="1"/>
        <s v="TT 16 - 17 - 82 (Crudo)" u="1"/>
        <s v="TTK 05-71 MGT 07 (crudo) TT 14-19-22 (Crudo) " u="1"/>
        <s v="TTK 64 (crudo) - TT 68 (crudo) TT 11 (crudo) " u="1"/>
        <s v="TT 64 - 65 - 72 (Vacías)" u="1"/>
        <s v="TT 67 - 22 - 57 (Vacías)" u="1"/>
        <s v="TT 68 - 63 - 11 (Vacías)" u="1"/>
        <s v="TTK 03 -56-62-63-80 MGT 03 (crudo) _x000a_" u="1"/>
        <s v="TTK 05 – 20 – 22 - MB 05 – 08 - 12 (vacías). " u="1"/>
        <s v="TTK 11-67-12-20-57(Crudo) " u="1"/>
        <s v="TTK 51-55-62 (vacio)" u="1"/>
        <s v="TTK 66-67-80-83(nafta) TTK 52(vacío) + TGS 01 (vacía)" u="1"/>
        <s v="TTK 02-05-08-55-62-65-67 - MGB 06 (vacías)" u="1"/>
        <s v="TTK 71 + MGT 12 – 05 - 07 - 02-08 (vacías)" u="1"/>
        <s v="MB 05- 08 TT 17 - 52 – 53 - 85 -  58 - 66 (vacías) " u="1"/>
        <s v="TT 07 - 03 - MGT 08 (Crudo) + MAG 21 (Vacía)" u="1"/>
        <s v="TT 03 - 20 - 07 (Crudo)" u="1"/>
        <s v="TT 04 - 07 - 57 (Crudo)" u="1"/>
        <s v="TT 11 - 57 - 83 (Crudo)" u="1"/>
        <s v="TT 18 - 62 - 63 (Crudo)" u="1"/>
        <s v="MAG 04-12-16 (cont) 12 (vacía)" u="1"/>
        <s v="TGS 02 (OGR)" u="1"/>
        <s v="TT17- 53 - 56 (Nafta)" u="1"/>
        <s v="TTK 05-65-80 MGT 01-06-12 (vacías)  " u="1"/>
        <s v="TTK 03-63-80-67-68-83 (Natfa) " u="1"/>
        <s v="MAG 04-16-12 (Cont.)" u="1"/>
        <s v="TT 67 - 65 - 83 - 03 - 20 - MGT 11 (Vacías)" u="1"/>
        <s v="MAG 01-19 - 21-22(Bobinas)- MAG 13 - 14 - 15-18 (Vacio)" u="1"/>
        <s v="TT 13– 19 – 21 (Crudo) " u="1"/>
        <s v="MAG 04-16 (Cont) MAG 08 – 09 – 12 (vacías) " u="1"/>
        <s v="TT 72 - 19 - 73 - 63 - 05 (Crudo) MAG 39 (Cont)" u="1"/>
        <s v="TT 02 - 12 - 08 (Crudo)" u="1"/>
        <s v="TT 16 - 03 - 64 (Crudo)" u="1"/>
        <s v="TTK 12 (nafta) TTK-66 (Vacías)" u="1"/>
        <s v="TT 52-80-67-56-59-66(Nafta) + RR Pto Berrio" u="1"/>
        <s v="MAG 04 - 16 - 12 (Cont)" u="1"/>
        <s v=" TTK 55-57-63-17-16 - MB 11 (Vacías) + RR Banco " u="1"/>
        <s v="MAG 22-13-30-21-14-19 (Bobinas)" u="1"/>
        <s v="TTK 55-64-65- (Nafta) " u="1"/>
        <s v="TT 04- 62 (Crudo) – TG 01 (Vacías)" u="1"/>
        <s v="TT11-66-MB03 (crudo)" u="1"/>
        <s v="TTK 55-57-62-65-83 (nafta)." u="1"/>
        <s v="TRAGAS 02 (GR)" u="1"/>
        <s v="TTK 05 - 72 (Nafta) + TGS 02 (Vacía) " u="1"/>
        <s v="MAG 04 -16 (cont)- MAG 08 - 39(Vacio) " u="1"/>
        <s v="TTK 58-66 (Nafta) – TTK 19 (vacía) " u="1"/>
        <s v="TTK 65-67 (crudo) + TTK 01 (vacía) " u="1"/>
        <s v="TT 16 - 67 - 85 (Crudo)" u="1"/>
        <s v="TT 73 - 19 - 63 - 03 - 20 - 07 (Crudo) " u="1"/>
        <s v="TTK 68 - 64 - 11 - 53 - 56 - 17 (Crudo)" u="1"/>
        <s v="MAG 35 (Big Bags)" u="1"/>
        <s v="TT 07 - 03 - 63 - 19 - 20 - MGT 08 (crudo)" u="1"/>
        <s v=" TTK 12-21 MGT 01-02-03-12 (vacías). " u="1"/>
        <s v="TTK 60- 83 - 15 - 58 -66 (Vacías) TGS 01  (OGR)" u="1"/>
        <s v="TT 04 - 71 - MGT 04 (Crudo)" u="1"/>
        <s v="MGT 03 - 05 - 07 – 08 + TT 71 - 12 (Midland) " u="1"/>
        <s v="TTK 08-18--MB07 (Vacío) 50-52-66 (Nafta) " u="1"/>
        <s v="TTK 85 - 65 (crudo) MGT 02 - 06 – 12 (crudo) - TT 12 (vacía&quot;" u="1"/>
        <s v="MAG 04 - 16 (Cont.) TTK 12 (vacía) MAG 11 (vacía) " u="1"/>
        <s v="TT 61 (Cargada) + MAG 18 - 25 (Vacía) + TT 82 - 63 (Nafta) + MGB 03 - 02 (Vacías)" u="1"/>
        <s v="TT 17 - 53 - 56 (Crudo)" u="1"/>
        <s v="TT 22 - 59 - 72 (Crudo)" u="1"/>
        <s v="TGS 1" u="1"/>
        <s v="MAG 04 - 08 - 16 (cont)" u="1"/>
        <s v="MAG 04 - 09 - 16 (Cont)" u="1"/>
        <s v="MAG 04 - 12 - 16 (Cont)" u="1"/>
        <s v="MAG 04 – 09 - 16 (Cont)" u="1"/>
        <s v="TT 02 - 62 -MB 06 (crudo)" u="1"/>
        <s v="TTK 07-63-68-MB 08 (Crudo) + TGS 02 (OGR) " u="1"/>
        <s v="MB 03- 04(Vacio)  TT 04 - 12 – 56 - 62 -  68 (Crudo) " u="1"/>
        <s v="Contenedores" u="1"/>
        <s v="TT 83 - 57 - 11 - 60 - 54 MGT 04 (Vacías)" u="1"/>
        <s v="TTK 03-16-64-51-53-MGT 07 (Desc. Crudo) " u="1"/>
        <s v="TT19-21 (Vacía)" u="1"/>
        <s v="TTK 56-62 MGT 03 (crudo) / TTK 11-53 – MB 08 (Vacías)_x000a_" u="1"/>
        <s v="TT 18-08 MGB 07 (Crudo)" u="1"/>
        <s v="TGS 01 (OGR) TGS 02(Butano) TGS 03(Vacia)" u="1"/>
        <s v="TTK 63-82 (Nafta) MB 02-03 (Vacías) + TTK 61 (Cargada) + MAG 18-25 (Vacía) " u="1"/>
        <s v="TTK 02-03-16-64-71-72 (Nafta)" u="1"/>
        <s v="TTK 50-66-63-58-67-62 (Nafta)" u="1"/>
        <s v="TTK 59-56 (Crudo) TT 68-03-20 (Crudo)+ MAG 34 (Cont.) TT 09 – 01 (Vacía) " u="1"/>
        <s v="MB 03 - TT 12 - 69 (Crudo)" u="1"/>
        <s v="MAG 17" u="1"/>
        <s v="MAG 04-16 (cont) + El R Soledad" u="1"/>
        <s v="TT 12 – 72 (Nafta) – TT 05 (vacío)" u="1"/>
        <s v="TT 21 – 22 – 71 – 80 – 82 – MGT 01(Crudo) + MAG 34 (Cont.)" u="1"/>
        <s v="TT 73 - 82 - MGT 03 - 01 - 02 - 12 (Vacías)" u="1"/>
        <s v="MGT 03 - 04 (Crudo) TTK 15 (Crudo)" u="1"/>
        <s v="TT 19 - TT 21 - TT 14 (Crudo) - TTK 13-54-85 (crudo) " u="1"/>
        <s v="TT 07 - MB 11- MAG 12 (Cont)" u="1"/>
        <s v="TGS 2" u="1"/>
        <s v="TT 18 - 50 - 68 (Crudo)" u="1"/>
        <s v="TT TT 16 (nafta) TT 64 - 65 (Vacías)" u="1"/>
        <s v="TGS 1 (Carg. Isobutano)" u="1"/>
        <s v="TT 14 - MB 02 - 06 (Crudo)" u="1"/>
        <s v="MGT 08 - 12 - 07 - TTK 03-65-64 (Vacías) TT 16 (Nafta) " u="1"/>
        <s v="MGT 03 (ROB) -MGB 04 (Vacías)." u="1"/>
        <s v="TT 58-66 MGT 05 (crudo) TTK 02-16 MGT 11 (crudo)_x000a_" u="1"/>
        <s v="TT 22 (Crudo) TT 73 (Crudo) TT 72 (Crudo) " u="1"/>
        <s v="MGT 02" u="1"/>
        <s v="MAG 04 - 16 (Cont.)  " u="1"/>
        <s v="TT 14 - 21 - 19 (Crudo)" u="1"/>
        <s v="TTK 02-71-72 (Nafta)_x000a_TT 68 MGT 03 – 12 (crudo)_x000a_" u="1"/>
        <s v="TT 04-15(cargada)" u="1"/>
        <s v="TTK 56-62 MGT 03 (crudo) _x000a_" u="1"/>
        <s v="TT 11 – 18 – 80 MGT 11 (vacías)" u="1"/>
        <s v="TTK 50-58-67 (Nafta) + MGB 07(Vacia)" u="1"/>
        <s v="TT 66 - 73 (Nafta)" u="1"/>
        <s v="TT 50 - 52 - 59 (Crudo) MAG 11 (Cont.)" u="1"/>
        <s v="TT 19 (Vacía) TT 13– 21 - 05-18-63 (Nafta)" u="1"/>
        <s v="MAG 03" u="1"/>
        <s v="TT 01 - 09 - 51 - 61  MGB 04  (vacias)" u="1"/>
        <s v="TT 05 - 02 - MGT 06 (Crudo)" u="1"/>
        <s v="TT14 – 71 (Crudo) MGB 02 (Crudo) " u="1"/>
        <s v="TT 03 – 20 – 80 – 83 – MB 02 – 12 (crudo) + TT 14 (Vacio)" u="1"/>
        <s v="TT 51 (gasolina)" u="1"/>
        <s v="MAG 12 (cont)- MAG 09 (Vacia) " u="1"/>
        <s v="TGS 3" u="1"/>
        <s v="TT 13-64-54-60 (Traliviano)" u="1"/>
        <s v="TT 65(Crudo) - MAG 25(Vacía)" u="1"/>
        <s v="TTK 59-72 (vacías) + MAG 17 (Cont)" u="1"/>
        <s v="TT 05 – 08 - 22 MGT 02 – 05 – 08 (Crudo)" u="1"/>
        <s v="TT 05 – 08 - 22 MGT 07 – 05 – 08 (Crudo)" u="1"/>
        <s v="TT 02-22-MGT 06 (crudo) " u="1"/>
        <s v="TT 07 – 08 – 55 (Crudo) " u="1"/>
        <s v="TT 58 -68 (midland) + TT 82 (Vacías)" u="1"/>
        <s v="TT 54-64 (tralv)" u="1"/>
        <s v="TT 80 - 64 - 02 (Vacías)" u="1"/>
        <s v="TT 03 - 08 - 20 - 56 - 59 - 68 (Vacio)" u="1"/>
        <s v="MGB 01-07-06-04 TTK 57-08 (Crudo)" u="1"/>
        <s v="MGT 02 - TT 63 (Crudo) + TT 04 (Vacía)" u="1"/>
        <s v="MGB 04-08 TT 04-71 (Vacia)" u="1"/>
        <s v="MB 05(crudo) TT 17 - 52 – 53 -  58 - 66 (crudo) + TT 11 - 16 - 50 - 59 - 57 (Crudo)" u="1"/>
        <s v="MAG 04 - 16 (cont) " u="1"/>
        <s v="TT 56 - 65 MB 08 (Crudo)" u="1"/>
        <s v="TTK 18-56-62-63-66 MB 12 (Midland) " u="1"/>
        <s v="TT 21-04-15" u="1"/>
        <s v="Se va dentro del convoy con el Pto Berrio" u="1"/>
        <s v="TT 22 – 69 (Nafta) – TT 64 (vacío)" u="1"/>
        <s v="MAG 37" u="1"/>
        <s v="MGT 03 - 12 TT 68 (Crudo)" u="1"/>
      </sharedItems>
    </cacheField>
    <cacheField name="Novedad" numFmtId="0">
      <sharedItems containsBlank="1" count="503">
        <s v=""/>
        <s v="Cierre canal por comunidad en el KM 30 CD"/>
        <m u="1"/>
        <b v="1" u="1"/>
        <s v="Recibio Torcioelastico (Proceso de cambio)" u="1"/>
        <s v="Asegura en el sector de magangue para revision tecnica(fallas con sistema de gobierno) " u="1"/>
        <s v="Sector crítico" u="1"/>
        <s v="Asegurando barcazas" u="1"/>
        <s v="Tiene Cambio de Tripulacion" u="1"/>
        <s v="Espera marea para ingreso (Mañana 08:00hrs)" u="1"/>
        <s v="Tomará la MAG 33 en KM 478 RM" u="1"/>
        <s v="No Tripulado" u="1"/>
        <s v="Su desviacion del plan es debido a  bloqueo de canal por encalle del RR Pto Berrio " u="1"/>
        <s v="Desvio en el plan para reconformar  convoy para optimizar la visibilidad, no estaba permitiendo desarrollar más de 4,5Km/h a 1200RPM." u="1"/>
        <s v="Demora por novedad mecánica presentada" u="1"/>
        <s v="El desvio se debe que en el KM  346 RM debio esperar el paso del RR Gloria " u="1"/>
        <s v="Remolcador Asistente" u="1"/>
        <s v="El desvio se debe a que el RR arribo a la Gloria, pero se decidio continuar navegacion al encuentro con el Mompox" u="1"/>
        <s v="Desvío en el plan debido al pare en San pedrito para acoplar RR Pto Berrio." u="1"/>
        <s v="Encalle" u="1"/>
        <s v="Dejará bczs en San Pedrito" u="1"/>
        <s v="En maniobras de desencalle con la TT 85" u="1"/>
        <s v="Con el RR P Salgar" u="1"/>
        <s v="Mañana debera realizar fraccionamiento" u="1"/>
        <s v="Estará entregando las bczs al RR Banco" u="1"/>
        <s v="A la espera del Puerto Berrio" u="1"/>
        <s v="Demoras por CT y maniobra" u="1"/>
        <s v="Sin tripulacion " u="1"/>
        <s v="Esperando seguridad" u="1"/>
        <s v="Remolcador presenta desviacion por que tuvo que aegurar por novedad en bomba de enfriamiento." u="1"/>
        <s v="Configuración de set" u="1"/>
        <s v="Al aespera del RR Mompox para intercambio de bczs" u="1"/>
        <s v="Subida Ecopetrol" u="1"/>
        <s v="Remolcado dentro del convoy del RR Calamar" u="1"/>
        <s v="Desvio en el plan por arribo en el KM 88 para desacoplar el RR San pablo y realizar confirguracin de convoy" u="1"/>
        <s v="Desvio en el plan debido a que tuvo que darle apaso al Remolcador Cantagallo durante su encuentro" u="1"/>
        <s v="Acesco" u="1"/>
        <s v="A la espera del R Soledad con las MAG 3(Maiz) - MAG 09 (Vacia)" u="1"/>
        <s v="Traslado hacia CD" u="1"/>
        <s v="Daño bomba de enfriamineto del MPB (Esperando tecnico de Gecolsa)" u="1"/>
        <s v="Novedad Caja Reductora - Sera remocado por el RR Banco" u="1"/>
        <s v="Por cambio de tripulación" u="1"/>
        <s v="Esperando ventana" u="1"/>
        <s v="Retraso por Cambio Tripulación" u="1"/>
        <s v="Tránsito luz diurna por brazo de la victoria" u="1"/>
        <s v="Por novedades con el orden publico nos vemos obluigados a asegurar efectuando desviacion en su plan de navegacion." u="1"/>
        <s v="Desencalle" u="1"/>
        <s v="Reiniciando navegación" u="1"/>
        <s v="Escotero hacia Compas" u="1"/>
        <s v="Novedad Bomba de Enfriamiento" u="1"/>
        <s v="Reubicación de convoy" u="1"/>
        <s v="Remolcado por el RR Barranquilla" u="1"/>
        <s v="Remolcador por el R Barranquilla" u="1"/>
        <s v="Remolcador encallado en canal navegable " u="1"/>
        <s v="Retiro muelle 1" u="1"/>
        <s v="Traliviano" u="1"/>
        <s v="Sondaje en el KM 591 RM" u="1"/>
        <s v="Encallo en el KM 562 RM" u="1"/>
        <s v="Encalló en el KM 562 RM" u="1"/>
        <s v="Desvio en el plan por Tropuiezo en el KM 374, Realizando Sondaje." u="1"/>
        <s v="Encalle en el km 572" u="1"/>
        <s v="A la espera del RR Barranquilla" u="1"/>
        <s v="Fuera de Servicio" u="1"/>
        <s v="Desvio en el plan debido al peso que lleva en su convoy" u="1"/>
        <s v="Novedad rotura tiros del RR" u="1"/>
        <s v="Remolcado por el RR Gloria " u="1"/>
        <s v="El plan tiene desvio por las lluvia fuertes que ha tocado disminuir velocidad y las composturas son mas demoradas." u="1"/>
        <s v="Desvio de plan por fuerte corriente de rio y restriccion de maquinas" u="1"/>
        <s v="Esperando al RR La Gloria" u="1"/>
        <s v="Torseolastico fuera de servicio" u="1"/>
        <s v="Retiro" u="1"/>
        <s v="Tránsito cruzado con otra embarcación" u="1"/>
        <s v="Validación de canal en el KM 373 RM" u="1"/>
        <s v="MAG 13 (vacía)" u="1"/>
        <s v="Diferencia debido a novedades presentadas durante navegacion nocturna" u="1"/>
        <s v="Realizando sondaje en el sector" u="1"/>
        <s v="operación feeder" u="1"/>
        <s v="Por bajo nivel río" u="1"/>
        <s v="Novedad mecanica Motor propulsor babor" u="1"/>
        <s v="Asegurado por cierre de canal" u="1"/>
        <s v="Acoplado al convoy del R P Salgar" u="1"/>
        <s v="Esperando marea hoy 12:00hrs" u="1"/>
        <s v="Entregando combustible" u="1"/>
        <s v="Esperando Marea hoy 18:00hrs" u="1"/>
        <s v="Maniobras de sondaje / Fraccionamiento" u="1"/>
        <s v="Desviacion por detencion en navegacion nocturna" u="1"/>
        <s v="Vibración en MPE / Sin tripulacion" u="1"/>
        <s v="En maniobras de sondaje / fraccionamiento" u="1"/>
        <s v="Esperando marea" u="1"/>
        <s v="Recibe bczs en KM 110 CD" u="1"/>
        <s v="Novedad Motor estribor / Realizando pruebas" u="1"/>
        <s v="La corriente en contra ha impedido desrrollar mayor velocidad en el viaje" u="1"/>
        <s v="Novedad tubería de succión de MP" u="1"/>
        <s v="Remolcado" u="1"/>
        <s v="El desvio se debe a la demora presentada en el Cambio de tripulacion, RR no encontraba punto de amarre" u="1"/>
        <s v="Realizo sondaje en el sector" u="1"/>
        <s v="Maniobras de desvare (viaje afectado por encalle)" u="1"/>
        <s v="Se tiene la intencion de arribar a CTG con marea, por eso el aumento en la velocidad." u="1"/>
        <s v="Realizando sondeo en el KM 600" u="1"/>
        <s v="Al RR Banco" u="1"/>
        <s v="Apoyo a RR BEJ" u="1"/>
        <s v="Novedad Caja Reductora - remolcado por el RR Banco" u="1"/>
        <s v="Encallado con 02 barcazas" u="1"/>
        <s v="El desvio se debe que va con dos maquinas y el rio tiene mucha corriente lo que dificulta la velocidad estimada en el plan" u="1"/>
        <s v="Revisión de fuga de aceite" u="1"/>
        <s v="Pruebas" u="1"/>
        <s v="Maniobras de zarpe" u="1"/>
        <s v="A la espera de intercambio de Capitan para reinicio" u="1"/>
        <s v="Esperando desencalle del RR Cartagena, para hacer ingreso" u="1"/>
        <s v="Desviación por Sondeo en sector critico" u="1"/>
        <s v="Acople al convoy del R P Salgar" u="1"/>
        <s v="Cierre de canal en el km 610 RM" u="1"/>
        <s v="Mantenimiento" u="1"/>
        <s v="Desvio en el plan por pernocte de 20km antes del sugerido en el plan, para evitar pernoctar en un kilometro no seguro (Poblacion Bijagual)" u="1"/>
        <s v="Tripulacion en prueba de laboratorio" u="1"/>
        <s v="El desvio en el plan se debe a que el RR tuvo reventazon de guaya en el KM 379" u="1"/>
        <s v="Delay por Encalle de bczs  y Novedad con la MP BB" u="1"/>
        <s v="Encallado con una baraza " u="1"/>
        <s v="Paso sector crítico" u="1"/>
        <s v="Novedad sistema de Gobierno" u="1"/>
        <s v="Remlcador estuvo asegurado para realizar maniobras de fraccionamiento desde el Km 598 hasta el KM 604" u="1"/>
        <s v="Desvio por entrega de provisiones en el KM 604 RM" u="1"/>
        <s v="Afectación por novedad Bomba refrigeración" u="1"/>
        <s v="Desvio en el plan debido a la espera en el Km 38 para el pase de un RR (Transflucol) y en el Km 36 ( EL Banco)" u="1"/>
        <s v="Retiro de barcazas" u="1"/>
        <s v="Pendiente resolver novedad del faro para zarpe" u="1"/>
        <s v="Recibiendo combustible" u="1"/>
        <s v="Esperando RR Capulco y Magangué" u="1"/>
        <s v="Esperando desencalle de bcz del RR Cartagena, para hacer ingreso" u="1"/>
        <s v="Encallado en el KM 596 RM" u="1"/>
        <s v="La diferencia es debido a que el MC no puede aumentar mas de las 1300 RPM" u="1"/>
        <s v="Asegurado" u="1"/>
        <s v="Novedad Mecanica Timones " u="1"/>
        <s v="De zarpe" u="1"/>
        <s v="Asegurando" u="1"/>
        <s v="Realizando sondaje en el sector de patico - Montecristo" u="1"/>
        <s v="Maniobras de Fraccionamiento" u="1"/>
        <s v="Novedad mecánica - Bomba Auxiliar refrigerante MPB" u="1"/>
        <s v="Asistiendo atraque" u="1"/>
        <s v="Se evidencia desviacion en el plan por que presenta velocidad inferior a la presentada en el plan, debido a corrientes en el rio." u="1"/>
        <s v="Novedad Bomba Enfriamiento." u="1"/>
        <s v="Desvio en el plan de navegacion por que estuvo asegurando por sectores criticas para realizar sondaje" u="1"/>
        <s v="Zarpo escotero de ITBB para tomar 3 barcazas del RR Gamarra y apoyar desvare" u="1"/>
        <s v="Por seguridad disminuye la velocidad en horario nocturno en el sector entre El Banco y Caño de la Victoria (Se actualizará plan)" u="1"/>
        <s v="A la espera del cambio del Torcioelastico" u="1"/>
        <s v="Reacondicionando convoy" u="1"/>
        <s v="Recibiendo agua" u="1"/>
        <s v="Apoyo fraccionamiento" u="1"/>
        <s v="Apoyo zarpe R La Gloria" u="1"/>
        <s v="El piloto reporta que la desviacionn se debe a que el rio esta con corriente y su velocidad promedio es de 4.44Km/h" u="1"/>
        <s v="Existe el desvio en el plan, debido a que el RR lleva las maquinas restringidas  y el rio tiene mucha corriente y solo alcanza los 1300 RPM." u="1"/>
        <s v="Hacia COFIBA" u="1"/>
        <s v="Recibiendo tripulación" u="1"/>
        <s v="Fraccionamiento en el KM 594" u="1"/>
        <s v="Ingreso a Bahia fraccionado con apoyo del RR Barranquilla" u="1"/>
        <s v="Armado Set" u="1"/>
        <s v="Ingreso de bczs" u="1"/>
        <s v="Novedad Caja Reductora " u="1"/>
        <s v="Su plan de navegacion se desvia debido a pernocte por fuertes lluvias, aseguro en el KM 407 RM a las 19:00hrs // Reinicia las 03:00hrs." u="1"/>
        <s v="El convoy sale de manera fracionada (4 / 4)" u="1"/>
        <s v="Ajuste de tuberia del mastil de antena" u="1"/>
        <s v="El desvio se debe a la diferencia de velocidad por la incidencia de la corriente" u="1"/>
        <s v="Desvio en el plan por que se activa a larma de MB y el maquinista sugirió asegurar para revisar." u="1"/>
        <s v="Fraccionamiento sector Critico" u="1"/>
        <s v="Al encuentro con el R San Pablo" u="1"/>
        <s v="No encontro paso " u="1"/>
        <s v="Paso por sectores criticos" u="1"/>
        <s v="En espera de marea para ingreso" u="1"/>
        <s v="Entrega de las bcz  Mag 25-40 (Coal)" u="1"/>
        <s v="Dique" u="1"/>
        <s v="Al RR Capulco" u="1"/>
        <s v="Cambio Torcielastico" u="1"/>
        <s v="A esperas del R Cantagallo" u="1"/>
        <s v="Bajo rendimiento por remolcador" u="1"/>
        <s v="Vibración en MPE" u="1"/>
        <s v="Remolcado por el RR Gamarra" u="1"/>
        <s v="Desvio en el plan, por que el rio esta bastante pesado por presencia de mucha corriente" u="1"/>
        <s v="El desvio se debe a que en el secotr KM 309 Rm debio esperar un lapso de dos horas que pasara el RR Dibuya" u="1"/>
        <s v="Sondeo en el Caño Montecristo" u="1"/>
        <s v="Trincado de convoy" u="1"/>
        <s v="sondaje" u="1"/>
        <s v="A esperas del RR Puerto Triunfo" u="1"/>
        <s v="Remolcador Por el RR Gamarra" u="1"/>
        <s v="Espera de RR Pequeños para intercambios de bczs" u="1"/>
        <s v="Hacia SPRB" u="1"/>
        <s v="Apoyo subida del R Magangué" u="1"/>
        <s v="Marea" u="1"/>
        <s v="Maniobra de arribo" u="1"/>
        <s v="Asegurado por rompimiento de bomba de enfriamiento (Maquinista realizando cambio)" u="1"/>
        <s v="Asegurado novedad mecánica" u="1"/>
        <s v="Suministro de combustible" u="1"/>
        <s v="Esperando que mejores condiciones metereologicas" u="1"/>
        <s v="Trasiego de combustible." u="1"/>
        <s v="MGT 04 – 06 – 08 – TT 71 – 15 – 04 – 65 – 53 (Vacías)." u="1"/>
        <s v="Sin Tripulación" u="1"/>
        <s v="Asegurado por reparación linea electrica en el Canal del Dique" u="1"/>
        <s v="En maniobras de Fraccionamiento" u="1"/>
        <s v="Tránsito cruzado en el KM 515 con otro RR" u="1"/>
        <s v="Diferencia debido a novedades presentadas durante navegacion " u="1"/>
        <s v="En entrega de la MAG 34 al R Banco" u="1"/>
        <s v="Esperando marea 15hrs" u="1"/>
        <s v="Desvio en el plan por novedad MPB bomba de enfriamiento desde las 21:45hrs hasta las 14:50hrs" u="1"/>
        <s v="Novedad Timones " u="1"/>
        <s v="Desviacion en su plan de navegacion debido a encallamiento en el sector del KM 553 desde las 13:50 hasta las 17:10hrs" u="1"/>
        <s v="Reparación Novedad." u="1"/>
        <s v="ingresa de manera fraccionada" u="1"/>
        <s v="Recibe apoyo del RR Puerto Slagar" u="1"/>
        <s v="Daño bomba de enfriamineto del MPB" u="1"/>
        <s v="A la espera del R La Gloria" u="1"/>
        <s v="Recibo de bczs al R Soledad" u="1"/>
        <s v="novedad bomba de enfriamiento (Eseprando cambio de la bomba)" u="1"/>
        <s v="Esperando marea para ingreso" u="1"/>
        <s v="apoyó fraccionamiento RR Barrancabermeja" u="1"/>
        <s v="Ingreso a muelle" u="1"/>
        <s v="Desvio por encalle en el sector del KM 187 " u="1"/>
        <s v="Fraccionamiento" u="1"/>
        <s v="Desvio en el plan por Sondeo en el Caño Montecristo" u="1"/>
        <s v="Desvio en su plan por Sondeo en el Caño Montecristo" u="1"/>
        <s v="En cambio de aceite" u="1"/>
        <s v="Aseguró por canal cerrado" u="1"/>
        <s v="Acoplando al R Zambrano dentro de convoy" u="1"/>
        <s v="Desviacion en su plan de navegacion debido a fuga de aceite en motor estribor y el dia de ayer sufrio encallamiento en el sector del KM 553 desde las 13:50 hasta las 17:10hrs" u="1"/>
        <s v="Novedad Fuga de refrigernte MP EB" u="1"/>
        <s v="Se desvio del plan por encontrar paliza y taruya en transito." u="1"/>
        <s v="RR reporta que la maquina del centro no se puede aumentar de las 1300 y ha ocacionado el desvio en la navegacion." u="1"/>
        <s v="Dejando TT 59 (crudo) al R Cantagallo" u="1"/>
        <s v="Novedad Motor centro" u="1"/>
        <s v="Falla en bombas" u="1"/>
        <s v="Escotero" u="1"/>
        <s v="Retiro de bczs hacia KM 110 CD" u="1"/>
        <s v="Realizara sondaje al medio dia para validar condiciones" u="1"/>
        <s v="Novedad Motor estribor" u="1"/>
        <s v="Remolcando al RR San Pablo" u="1"/>
        <s v="Se desvio del plan por encontrar palizada y taruya en transito la cual ocaciona reduccion de velicidad." u="1"/>
        <s v="Intercambio de bczs" u="1"/>
        <s v="Motor Babor" u="1"/>
        <s v="Desvio por acople del RR Zambrano" u="1"/>
        <s v="Arribo" u="1"/>
        <s v="Armado de set" u="1"/>
        <s v="RR sufrió perdida de gobierno por MPE  queda asegurado esperando repuesto. Reanudo navegacion para llegar hasta el sector de Magangue para ser intervenido." u="1"/>
        <s v="Desvio en el plan por novedad mecanica presentada" u="1"/>
        <s v="Novedad Bombas de enfriamiento" u="1"/>
        <s v="Esperando RR Magangué" u="1"/>
        <s v="TTK 57 – 83 (Vacías) TTK 69 – 02 - MGT 06 (vacías) " u="1"/>
        <s v="Zarpe de ITBB despues de finalizaicon de prueba de lancha" u="1"/>
        <s v="Pruebas de Maquinas" u="1"/>
        <s v="Desvio de plan por corriente de rio y restriccion de maquinas" u="1"/>
        <s v="A la espera del RR Gamarra" u="1"/>
        <s v="Sondaje sector critico" u="1"/>
        <s v="Detencion por palizada" u="1"/>
        <s v="Esperando ventana SPRB" u="1"/>
        <s v="Intercambio de barcazas" u="1"/>
        <s v="Recibe Combustible del RR Mompox" u="1"/>
        <s v="Desvio en el plan debido a que tuvo que parar en el Km 38 para dar pase de un RR (Transflucol) y en el Km 36 ( EL Banco)" u="1"/>
        <s v="Bomba de enfriamiento averiado" u="1"/>
        <s v="A la espera del RR Mompox para intercambio de bczs" u="1"/>
        <s v="Desvio en la navegacion por porceso de sondeo en punto critico " u="1"/>
        <s v="Novedad Bomba refrigerante MPE" u="1"/>
        <s v="Desvio en el plan por Sondeo en el KM 517 - 510" u="1"/>
        <s v="Remolcador pernocta en el KM 387 para realizar ajuste de la antena" u="1"/>
        <s v="Apoyo al RR Gamarra" u="1"/>
        <s v="Apoyo zarpe R Soledad." u="1"/>
        <s v="Asisitiendo operación de atraque Contecar" u="1"/>
        <s v="Desvio en el plan  a causa de las corrientes generadas en el rio, que no permite alcanzar la velocidad  solicitada en el plan de navegacion" u="1"/>
        <s v="A espera del RR Gamarra " u="1"/>
        <s v="Fraccionando (1 bcz)" u="1"/>
        <s v="Proximo a asegurar, amnifiesta que en el KM 591 como indica el plan no hay punto de amarre" u="1"/>
        <s v="Proximo a asegurar, manifiesta que en el KM 591 como indica el plan no hay punto de amarre" u="1"/>
        <s v="Hay desvio en el plan, por que no ha alcanzado la velocidad promedio que hace referencia el plan de navegacion, por efectos de la corriente." u="1"/>
        <s v="Asegurado debido a fuga de aceite en motor estribor. Rompimiento tubo del turbo del ME" u="1"/>
        <s v="Retraso por sector critico (KM 568 RM)" u="1"/>
        <s v="Hay desvio en el plan, debido a que no ha alcanzo la velocidad promedio que hace referencia el plan de navegacion, por efectos de la corriente" u="1"/>
        <s v="Pernocte no contemplado por paso critico en el Km 556 RM" u="1"/>
        <s v="Desviacion del plan por novedad  golpe de la TT 72 con artefacto flotante." u="1"/>
        <s v="Desvio en el plan, debido a que el RR tuvo que asegurar en el Km 521 para revisar novedad presentada con el Generador del ME, la cual se encuentra fuera de servicio." u="1"/>
        <s v="Entrega de Combsutible al RR Gamarra" u="1"/>
        <s v="Sondaje por sector critico" u="1"/>
        <s v="Navegando hacia Contecar" u="1"/>
        <s v="Manga exp MPB F/S" u="1"/>
        <s v="Encalle en el KM 613 RM" u="1"/>
        <s v="Remolcado por el R Soledad - Destripulado" u="1"/>
        <s v="Sondaje sector crítico" u="1"/>
        <s v="A la espera de Marea para Ingreso" u="1"/>
        <s v="Canal navegable cerrado " u="1"/>
        <s v="Canal navegable cerrado por remolcador de otra naviera Encallado" u="1"/>
        <s v="Destripulado" u="1"/>
        <s v="Novedad mecanica" u="1"/>
        <s v="Canal soplaviento cerrado " u="1"/>
        <s v="Maniobras de desvare" u="1"/>
        <s v="A espera del RR Gamarra (novedad MPE)" u="1"/>
        <s v="Desvio en el plan por Sondeo en el KM 598" u="1"/>
        <s v="El Desvio se debe a que ha detenido navegacion para validar dos sectores criticos KM 617 y Km 515" u="1"/>
        <s v="Desvio en su plan por novedad presentada con bomba refrigerante" u="1"/>
        <s v="Desvio en el plan, debido a que el Remolcador tuvo tropiezo con barcazas en el KM 623, y detuvo navegacion alrededor de 3horas." u="1"/>
        <s v="Paso por sector critio y condicion del rio" u="1"/>
        <s v="Novedad MP" u="1"/>
        <s v="Novedad bomba auxiliar" u="1"/>
        <s v="A la espera del RR Soledad" u="1"/>
        <s v="El piloto reporta que la desviacionn se debe a que el rio esta con corriente y su velocidad promedio es de 6.0Km/h" u="1"/>
        <s v="Fraccionando convoy por condicion critica del sector" u="1"/>
        <s v="Asegurando por encalle de RR Medellin (otra naviera)" u="1"/>
        <s v="Esperando marea oy 12:00hrs" u="1"/>
        <s v="Fuerte Corriente genera resistencia para el avance" u="1"/>
        <s v="Desvio en el plan, por encalle de bczs en el KM 593, deteniendo la navegacion por casi 1 hora." u="1"/>
        <s v="Su plan de navegacion se desvia debido a pernocte no programado por seguridad de los equipos en el canal del dique." u="1"/>
        <s v="Asumiendo convoy R Puerto Berrio" u="1"/>
        <s v="Dejando 3 bczs KM432 y continua" u="1"/>
        <s v="Traslado de bcz" u="1"/>
        <s v="En Fraccionamineto" u="1"/>
        <s v="Hacia Boya Opon" u="1"/>
        <s v="Desviacion en el plan por que tuvo que esperar custodia de seguridad en San pedrito para entregar MAG 03" u="1"/>
        <s v="Remolcador por el R Soledad" u="1"/>
        <s v="Novedad Caja Reductora" u="1"/>
        <s v="Autorización de ingreso a muelle" u="1"/>
        <s v="Esperando ventana CONTECAR (21:00)" u="1"/>
        <s v="Presenta desvio con respecto a su plan de navegacion por condiciones de vibracion en los motores y se ve obligado a bajar las RPM esto afecta en el avance o velocidad programada." u="1"/>
        <s v="Operación Acesco" u="1"/>
        <s v="Barcazas a flote , mañana realizará sondeo para encontrar paso." u="1"/>
        <s v="Cierre de canal" u="1"/>
        <s v="Remolcador se encuentra buscando punto de amarre" u="1"/>
        <s v="Reanuda navgeacion mañana 04:30hrs" u="1"/>
        <s v="Apoyo en fraccionmiento al RR Barranquilla" u="1"/>
        <s v="Condición del río" u="1"/>
        <s v="Apoyo al R Gloria" u="1"/>
        <s v="El desvio se debe a la detencion del remolcador el dia de ayer para remolcar el RR Puerto Salgar" u="1"/>
        <s v="Desvio en el plan porque el RR estuvo esperando instruciones para el desembarque del capitan quien presentaba fiebre alta." u="1"/>
        <s v="Maniobra de desacople R Magangué" u="1"/>
        <s v="Este remolcador audara la subida las bczs del RR Calamar" u="1"/>
        <s v="Diferencia por Novedad Motor estribor " u="1"/>
        <s v="Maniobras de desencalle" u="1"/>
        <s v="Acoplando a convoy" u="1"/>
        <s v="Limitacion propulsor centro" u="1"/>
        <s v="Entregando bcz TGS" u="1"/>
        <s v="TT 82 (vacía)" u="1"/>
        <s v="Novedad chaqueta termica" u="1"/>
        <s v="Maniobras de desvare (Bczs Encalladas)" u="1"/>
        <s v="Entregando TT 10 al R La Gloria" u="1"/>
        <s v="Custodia de bczs" u="1"/>
        <s v="Apoyando ingreso R Barranquilla" u="1"/>
        <s v="Desvio en el plan por sondajes realizados en puntos cirticos." u="1"/>
        <s v="A la espera del RR Cantagallo" u="1"/>
        <s v="Bajo nivel del río" u="1"/>
        <s v="Ruido anormal en Motor de babor" u="1"/>
        <s v="Encalle en el KM 61 RM" u="1"/>
        <s v="Esperando que mejores condiciones metereologicas para zarpe" u="1"/>
        <s v="Debe dejar el RR San pablo y RR soledad en San Pedrito" u="1"/>
        <s v="Según su plan de Navegacion su ETA debia ser el dia de ayer 26/03/2021 Pm" u="1"/>
        <s v="Se ce afectado el plan debido al apoyo prestado al RR Banco durante su encalle." u="1"/>
        <s v="Ingresando" u="1"/>
        <s v="Retiro de bczs" u="1"/>
        <s v="Pernocte para sondaje diurno KM 191 RM" u="1"/>
        <s v="Fraccionamiento km 597 - 604 Rm" u="1"/>
        <s v="Sin Tripulacion" u="1"/>
        <s v="MB restringuido a 1300 RPM por vibracion" u="1"/>
        <s v="Reubicación de bczs" u="1"/>
        <s v="Encalle en el KM 62 RM" u="1"/>
        <s v="a la espera del RR la Gloria" u="1"/>
        <s v="Pasando tripulación al R San Pablo" u="1"/>
        <s v="No disponible" u="1"/>
        <s v="Desviacion en su plan por que RR se asegura por condiciones cliMATICAS" u="1"/>
        <s v="Asegurado por no encontrar paso en sector" u="1"/>
        <s v=" Delay Lluvias y visibilidad " u="1"/>
        <s v="Se va de arete con le RR Calamar una vez zarpe aguas arriba" u="1"/>
        <s v="Asegurradoen el sector de magangue para revision tecnica(fallas con sistema de gobierno) " u="1"/>
        <s v="Desvio en la navegacion debido a  que su arribo a mgg fue  alas 18:00 y reanudo despues de CT a las 23:00hrs" u="1"/>
        <s v="A la espera del R San pablo" u="1"/>
        <s v="Remolcador por el RR P Salgar" u="1"/>
        <s v="El desvio en el plan se debe que el remolcador tuvo que pernoctar en el 598 RM , para realizar sondaje." u="1"/>
        <s v="Recibiendo bcz TGS" u="1"/>
        <s v="Encallado con bczs - En maniobras de desvare" u="1"/>
        <s v="Hacia Dinacol" u="1"/>
        <s v="Apoyo operación feeder" u="1"/>
        <s v="Novedad con exosto MPE " u="1"/>
        <s v="Novedad con el MPC - MPB - se asegura para revision" u="1"/>
        <s v="Desvio en el plan por detencion en Claamar para reconfiguracion de convoy" u="1"/>
        <s v="Presenta desvio en la navegacion debido a que el el tiro de estribor del remolcador se rompio y tuvieron que asegurar para revisar, arreglar y continuar navegacion." u="1"/>
        <s v="Conformando convoy" u="1"/>
        <s v="Reduccion de velocidad en navegacion nocturna" u="1"/>
        <s v="Remolcado dentro del convoy del RR Clamar" u="1"/>
        <s v="No se ha establecido comunicación con el RR, en el avance de las 12hrs se notificara el desvio en el plan" u="1"/>
        <s v="Desvio en el plan de navegacion por novedad en bomba de enfriamineto" u="1"/>
        <s v="Acople de bczs" u="1"/>
        <s v="Canal cerrado por draga" u="1"/>
        <s v="Realizo apoyo devare del R La Gloria" u="1"/>
        <s v="Encallado" u="1"/>
        <s v="Remolcador se encunetra asegurado por tropiezo de barcazas en el KM 623" u="1"/>
        <s v="RR asegurado por reconocer fondo en el KM 593, ya las bczs estan a flote, se encunetra realizando sondaje." u="1"/>
        <s v="Sin Tripúlacion" u="1"/>
        <s v="Novedad por golpe de la TT 72 por artefacto flotante." u="1"/>
        <s v="Realizando Sondaje (demoras por condición del río)." u="1"/>
        <s v="Esperando marea para ingreso 14:00hrs" u="1"/>
        <s v="Espera de Marea" u="1"/>
        <s v="Cierre de Cnaal - Mañana reinicia navegacion" u="1"/>
        <s v="Novedad Mecánica" u="1"/>
        <s v="Realizo cambio de bomba de enfriamineto, en prueba de maquinas para continaur navegacion" u="1"/>
        <s v="Estuvo apoyando Desvare del RR Calamar / entrego3 barcazas al RR magangue" u="1"/>
        <s v="Presenta delay por Reparacion de Bomba MP BB" u="1"/>
        <s v="Por seguridad disminuye la velocidad en horario nocturno en el sector entre El Banco y Caño de la Victoria" u="1"/>
        <s v="Se desvio del plan por encontrar paliza y taruya en transito la cual ocaciona reduccion de velicidad." u="1"/>
        <s v="Fraccionamiento KM 591 RM" u="1"/>
        <s v="Convoy de zarpe" u="1"/>
        <s v="Encalle en el km 572 / Encalle en el KM 522" u="1"/>
        <s v="Reacondicinando barcazas" u="1"/>
        <s v="En Fraccionamiento" u="1"/>
        <s v="Fraccionamiento (apoyado por R Mompox)." u="1"/>
        <s v="Novedad MPB" u="1"/>
        <s v="Apoyo al RR Capulco" u="1"/>
        <s v="Novedad mecánica / Novedad detención por tragadero en el KM 227" u="1"/>
        <s v="_x000a_Asegurado en el sector de Magangue para revisión técnica(fallas con sistema de gobierno) _x000a_" u="1"/>
        <s v="18:00hrs" u="1"/>
        <s v="Apoyo zarpe calamar" u="1"/>
        <s v="Esperando marea para zarpe" u="1"/>
        <s v="Se encuentra asegurado en maniobras de sondeo " u="1"/>
        <s v="Presenta desvio en el plan debido a detencion en la navegacion por fuertes lluvias en la madrugada" u="1"/>
        <s v="Sondaje en Sectores Criticos" u="1"/>
        <s v="Bczs a flote a las 17:25 / armando convoy para zarpe" u="1"/>
        <s v="Ingreso con marea" u="1"/>
        <s v="Dejando barcazas MAG" u="1"/>
        <s v="A la espera del RR Puerto Salgar" u="1"/>
        <s v="Apoyo de maniobras en cofiba luego retorna a pimsa" u="1"/>
        <s v="Remolcado por el R Cantagallo" u="1"/>
        <s v="Sondaje en sector critico" u="1"/>
        <s v="Revisión MPE fuga de refrigerante" u="1"/>
        <s v="A la espera del RR pto Triunfo" u="1"/>
        <s v="Se encunetra en maniobras de desencalle" u="1"/>
        <s v="Novedad MPB bomba de enfriamiento" u="1"/>
        <s v="El desvio en el plan se debe a la detencion en el KM 610 para realizar sondaje" u="1"/>
        <s v="Diferencia debido a novedad presentadas durante navegacion " u="1"/>
        <s v="Remolcado en el convoy del RR Barrancabermeja" u="1"/>
        <s v="Delay por rearmado del convoy para entrega de la TT14" u="1"/>
        <s v="Toma de combustible" u="1"/>
        <s v="Fuertes lluvias / Draga Km 604 RM" u="1"/>
        <s v="RR se encuentra adelantado en su plan por que inciio maquinas full sppeed, según el capitan habia entendido el plan de esa manera, se le llamo y se ajusto velocidades." u="1"/>
        <s v="Retiro de bczs hacia KM 107 CD" u="1"/>
        <s v="RR Puerto Salgar" u="1"/>
        <s v="Aguantad en ingreso de canal, fuertes brisas poca navegabilidad" u="1"/>
        <s v="Deja bczs en KM 88 RM" u="1"/>
        <s v="Pernocte transito de puente" u="1"/>
        <s v="Remolcado Por el R Banco" u="1"/>
        <s v="Navega Remolcado con el RR Zambrano" u="1"/>
        <s v="Remolcador estuvo encallado con la TT 14 desde las 11:35 hasta las 16:20" u="1"/>
        <s v="Novedad MPB bomba de enfriamiento desde las 21:45hrs" u="1"/>
        <s v="Novedad Timones / Sin Tripulacion" u="1"/>
        <s v="Escotero  " u="1"/>
        <s v="Por encalle de RR HM (naviera) en canal navegable" u="1"/>
        <s v="Presento falla en bomba de timones de flanqueo." u="1"/>
        <s v="MB 04 – 02 (crudo) MAG 03 (Vacía) TT 71 (crudo) " u="1"/>
        <s v="Conformacion de convoy" u="1"/>
        <s v="conformación de convoy" u="1"/>
        <s v="Realizando Sondeo KM 622" u="1"/>
        <s v="Novedad en sector critico - Detencion para reparación de guayas" u="1"/>
        <s v="Remolcado por el RR Calamar" u="1"/>
        <s v="En dique " u="1"/>
        <s v="Entrega TGS01" u="1"/>
        <s v="Tránsito diurno por puentes" u="1"/>
        <s v="Asegurado realizando sondaje" u="1"/>
        <s v="Escotero  al encuentro del R San pablo" u="1"/>
        <s v="Winche de estribor averiado" u="1"/>
        <s v="Queda en SPD para Cambio de Tripulacion" u="1"/>
        <s v="Retraso por novedad propelas C y E" u="1"/>
        <s v="Novedad Caja Reductora - Sera remocado por el RR Gloria" u="1"/>
        <s v="En Dique" u="1"/>
        <s v="Aseguró por canal cerrado en el KM 536 RM" u="1"/>
        <s v="Entregando custodia a seguridad" u="1"/>
        <s v="Intervencion por maquinas" u="1"/>
        <s v="Espera de RR Pequelños para intercambios de bczs" u="1"/>
        <s v="Realizando sondaje" u="1"/>
        <s v="Asegurado (bomba de enfriamiento de MP estribor se asegura)" u="1"/>
        <s v="Novedad con el MPC - MPB - A la espera de tecnicos para intervencion" u="1"/>
        <s v="Desvio en el plan por bajo rendimiento del motor Centro" u="1"/>
        <s v="Transito cruzado en el KM 515 con el RR Calamar" u="1"/>
        <s v="Esperando TT 51" u="1"/>
        <s v="El desvio en el plan se debe a la restricion del propulsor de babor a 1350 RPM" u="1"/>
        <s v="De arribo" u="1"/>
        <s v="Espera marea mañana 07:20hrs" u="1"/>
        <s v="Fraccionamiento KM 591 RM // KM 600 RM" u="1"/>
        <s v="Tránsito diurno por brazo de la victoria" u="1"/>
        <s v="Desvio en plan por tránsito cruzado con otra embarcación" u="1"/>
        <s v="Recibiendo MAG 34" u="1"/>
        <s v="Ingreso muelle 1" u="1"/>
        <s v="Fraccionando" u="1"/>
        <s v="Se contempla desviacion en su plan de navegacion por novedades con el orden publico." u="1"/>
        <s v="Intercambio " u="1"/>
        <s v="Novedad Mecanica Timon babor " u="1"/>
        <s v="Desvio en el plan por detencion para cambio de tripulacion" u="1"/>
        <s v="Al R Puerto Salgar" u="1"/>
        <s v="Cierre de transito en el km 600 RM" u="1"/>
        <s v="Ingreso de barcazas a muelle" u="1"/>
        <s v="Apoyo al R Mompox" u="1"/>
        <s v="Realizando prueba de Motor" u="1"/>
        <s v="Novedad bomba de enfriamiento (Maquinista se encunetra realizando cambio)" u="1"/>
        <s v="Remolcado por el RR La Gloria" u="1"/>
        <s v="Retraso por Cambio de Tripulación" u="1"/>
        <s v="Realiazando Sondaje" u="1"/>
        <s v="Tripulado" u="1"/>
        <s v="Navega Escotero" u="1"/>
        <s v="Con el RR Puerto Salgar" u="1"/>
        <s v="Recibiendo y entregando barcazas" u="1"/>
        <s v="Maniobras" u="1"/>
        <s v="Apoyo mtto dique" u="1"/>
        <s v="Arribo y conformación de SET" u="1"/>
        <s v="Apoyo desencalle Remolcador La Gloria" u="1"/>
        <s v="Esperando espacio" u="1"/>
      </sharedItems>
    </cacheField>
    <cacheField name="Target Km" numFmtId="0">
      <sharedItems containsMixedTypes="1" containsNumber="1" containsInteger="1" minValue="91" maxValue="592"/>
    </cacheField>
    <cacheField name="Target Rio" numFmtId="0">
      <sharedItems/>
    </cacheField>
    <cacheField name="Lugar" numFmtId="0">
      <sharedItems containsMixedTypes="1" containsNumber="1" containsInteger="1" minValue="102" maxValue="520" count="16">
        <s v=""/>
        <s v="CTG"/>
        <s v="San Pedrito"/>
        <s v="ITBB"/>
        <n v="167" u="1"/>
        <n v="491" u="1"/>
        <n v="233" u="1"/>
        <n v="520" u="1"/>
        <n v="432" u="1"/>
        <n v="435" u="1"/>
        <n v="102" u="1"/>
        <n v="302" u="1"/>
        <n v="237" u="1"/>
        <n v="434" u="1"/>
        <n v="232" u="1"/>
        <n v="279" u="1"/>
      </sharedItems>
    </cacheField>
    <cacheField name="Viaje" numFmtId="0">
      <sharedItems containsBlank="1" count="944">
        <s v=""/>
        <s v="VDEC879"/>
        <s v="VDEC880"/>
        <s v="SU1264"/>
        <s v="SU1265"/>
        <m u="1"/>
        <s v="SU1078" u="1"/>
        <s v="SU1066" u="1"/>
        <s v="SU1158" u="1"/>
        <s v="SU1054" u="1"/>
        <s v="SU1146" u="1"/>
        <s v="SU1238" u="1"/>
        <s v="VUCE 830" u="1"/>
        <s v="SU1042" u="1"/>
        <s v="SU1226" u="1"/>
        <s v="SU1030" u="1"/>
        <s v="SU1122" u="1"/>
        <s v="SU1110" u="1"/>
        <s v="SU1202" u="1"/>
        <s v="SU1088" u="1"/>
        <s v="SU1076" u="1"/>
        <s v="SU1168" u="1"/>
        <s v="SU1064" u="1"/>
        <s v="SU1156" u="1"/>
        <s v="SU1248" u="1"/>
        <s v="SU1144" u="1"/>
        <s v="SU1236" u="1"/>
        <s v="SU1040" u="1"/>
        <s v="SU1132" u="1"/>
        <s v="SU1120" u="1"/>
        <s v="SU1212" u="1"/>
        <s v="SU1200" u="1"/>
        <s v="Pte Plan " u="1"/>
        <s v="SU1098" u="1"/>
        <s v="SU1178" u="1"/>
        <s v="SU1074" u="1"/>
        <s v="SU1166" u="1"/>
        <s v="SU1062" u="1"/>
        <s v="SU1154" u="1"/>
        <s v="SU1246" u="1"/>
        <s v="SU1050" u="1"/>
        <s v="SU1142" u="1"/>
        <s v="SU1234" u="1"/>
        <s v="SU1130" u="1"/>
        <s v="SU1210" u="1"/>
        <s v="SU" u="1"/>
        <s v="SD1200-1" u="1"/>
        <s v="SU1096" u="1"/>
        <s v="SU1188" u="1"/>
        <s v="SU1084" u="1"/>
        <s v="SU1176" u="1"/>
        <s v="SU1072" u="1"/>
        <s v="SU1164" u="1"/>
        <s v="SU1060" u="1"/>
        <s v="SU1244" u="1"/>
        <s v="SU1140" u="1"/>
        <s v="SU1232" u="1"/>
        <s v="VDEC683" u="1"/>
        <s v="SU1220" u="1"/>
        <s v="VDEC780" u="1"/>
        <s v="SU1198" u="1"/>
        <s v="SU1094" u="1"/>
        <s v="SU1082" u="1"/>
        <s v="SU1174" u="1"/>
        <s v="SU1358" u="1"/>
        <s v="VDEC782" u="1"/>
        <s v="SU1070" u="1"/>
        <s v="SU1162" u="1"/>
        <s v="SU1254" u="1"/>
        <s v="VUCE 831" u="1"/>
        <s v="SU1150" u="1"/>
        <s v="SU1242" u="1"/>
        <s v="VDEC783" u="1"/>
        <s v="SU1230" u="1"/>
        <s v="SD1176-1" u="1"/>
        <s v="VDEC784" u="1"/>
        <s v="VDEC785" u="1"/>
        <s v="VDEC786" u="1"/>
        <s v="VDEC787" u="1"/>
        <s v="VDEC788" u="1"/>
        <s v="VDEC760" u="1"/>
        <s v="SU1092" u="1"/>
        <s v="SU1184" u="1"/>
        <s v="SU1172" u="1"/>
        <s v="VDEC762" u="1"/>
        <s v="SU1160" u="1"/>
        <s v="SU1252" u="1"/>
        <s v="SU1240" u="1"/>
        <s v="VDEC763" u="1"/>
        <s v="VDEC764" u="1"/>
        <s v="VUCE 910 - 1" u="1"/>
        <s v="SD1310-1" u="1"/>
        <s v="VDEC766" u="1"/>
        <s v="VDEC767" u="1"/>
        <s v="VDEC860" u="1"/>
        <s v="VDEC768" u="1"/>
        <s v="VDEC740" u="1"/>
        <s v="VDEC861" u="1"/>
        <s v="SU1194" u="1"/>
        <s v="VDEC769" u="1"/>
        <s v="SU1090" u="1"/>
        <s v="SU1182" u="1"/>
        <s v="VDEC862" u="1"/>
        <s v="SU1170" u="1"/>
        <s v="SU1262" u="1"/>
        <s v="VDEC742" u="1"/>
        <s v="VDEC743" u="1"/>
        <s v="VDEC744" u="1"/>
        <s v="VDEC745" u="1"/>
        <s v="VDEC867" u="1"/>
        <s v="VDEC747" u="1"/>
        <s v="VDEC868" u="1"/>
        <s v="VDEC840" u="1"/>
        <s v="VDEC748" u="1"/>
        <s v="VDEC869" u="1"/>
        <s v="VDEC841" u="1"/>
        <s v="SU1192" u="1"/>
        <s v="VDEC749" u="1"/>
        <s v="SU1180" u="1"/>
        <s v="SU1364" u="1"/>
        <s v="VDEC842" u="1"/>
        <s v="VDEC843" u="1"/>
        <s v="SD1170-1" u="1"/>
        <s v="VDEC844" u="1"/>
        <s v="SD1250-1" u="1"/>
        <s v="VDEC845" u="1"/>
        <s v="VDEC846" u="1"/>
        <s v="pdte plan" u="1"/>
        <s v="VDEC847" u="1"/>
        <s v="VDEC848" u="1"/>
        <s v="VDEC820" u="1"/>
        <s v="SU1190" u="1"/>
        <s v=" VUCE784" u="1"/>
        <s v="SU1362" u="1"/>
        <s v="SU1350" u="1"/>
        <s v="VDEC823" u="1"/>
        <s v="SD1260-1" u="1"/>
        <s v="VDEC824" u="1"/>
        <s v="VDEC825" u="1"/>
        <s v="VDEC826" u="1"/>
        <s v="VDEC827" u="1"/>
        <s v="V-CTGBAQ143" u="1"/>
        <s v="VDEC828" u="1"/>
        <s v="V-CTGBAQ130" u="1"/>
        <s v="SU1360" u="1"/>
        <s v="VDEC802" u="1"/>
        <s v="VDEC803" u="1"/>
        <s v="V-CTGBAQ145" u="1"/>
        <s v="V-CTGBAQ131" u="1"/>
        <s v="VDEC804" u="1"/>
        <s v="VDEC805" u="1"/>
        <s v="V-CTGBAQ146" u="1"/>
        <s v="V-CTGBAQ132" u="1"/>
        <s v="VDEC806" u="1"/>
        <s v="VDEC807" u="1"/>
        <s v="V-CTGBAQ147" u="1"/>
        <s v="V-CTGBAQ133" u="1"/>
        <s v="VDEC808" u="1"/>
        <s v="VDEC809" u="1"/>
        <s v="V-CTGBAQ148" u="1"/>
        <s v="V-CTGBAQ120" u="1"/>
        <s v="SD1172-2" u="1"/>
        <s v="V-CTGBAQ135" u="1"/>
        <s v="V-CTGBAQ136" u="1"/>
        <s v="V-CTGBAQ137" u="1"/>
        <s v="v-CTGBAQ123" u="1"/>
        <s v="V-CTGBAQ138" u="1"/>
        <s v="VUCE892-1" u="1"/>
        <s v="V-CTGBAQ124" u="1"/>
        <s v="V-CTGBAQ139" u="1"/>
        <s v="V-CTGBAQ125" u="1"/>
        <s v="V-CTGBAQ127" u="1"/>
        <s v="VUCE899-1" u="1"/>
        <s v="V-CTGBAQ128" u="1"/>
        <s v="V-CTGBAQ114" u="1"/>
        <s v="V-CTGBAQ129" u="1"/>
        <s v="V-CTGBAQ101" u="1"/>
        <s v="V-CTGBAQ116" u="1"/>
        <s v="SU1238-1" u="1"/>
        <s v="VUCE878-1" u="1"/>
        <s v="VUCE879-1" u="1"/>
        <s v="VUCE851-1" u="1"/>
        <s v="VBAQCTG112-1" u="1"/>
        <s v="V-CTGBAQ118" u="1"/>
        <s v="VUCE852-1" u="1"/>
        <s v="VDEC7559" u="1"/>
        <s v="V-CTGBAQ119" u="1"/>
        <s v="SU1088-1" u="1"/>
        <s v="VUCE855-1" u="1"/>
        <s v="SU1076-1" u="1"/>
        <s v="V-BAQCTA133" u="1"/>
        <s v="VUCE899-2" u="1"/>
        <s v="V-CTGBAQ107" u="1"/>
        <s v="VUCE738-1" u="1"/>
        <s v="VUCE859-1" u="1"/>
        <s v="V-CTGBAQ108" u="1"/>
        <s v="V-CTGBAQ109" u="1"/>
        <s v="V-BAQCTG087-1" u="1"/>
        <s v=" SU1039" u="1"/>
        <s v="SU1166-1" u="1"/>
        <s v="VUCE836-1" u="1"/>
        <s v="SD1109" u="1"/>
        <s v="SD1005" u="1"/>
        <s v="VUCE879-2" u="1"/>
        <s v="VUCE851-2" u="1"/>
        <s v="SU1188-1" u="1"/>
        <s v="VUCE815-1" u="1"/>
        <s v="SD1107" u="1"/>
        <s v="SU1204-2" u="1"/>
        <s v="VUCE913-1" u="1"/>
        <s v="VUCE914-1" u="1"/>
        <s v="SU1186-1" u="1"/>
        <s v="SD1209" u="1"/>
        <s v="SD1105" u="1"/>
        <s v="V-CTGBAQ" u="1"/>
        <s v="SD1139" u="1"/>
        <s v="SD1127" u="1"/>
        <s v="SD1219" u="1"/>
        <s v="SD1115" u="1"/>
        <s v="SD1207" u="1"/>
        <s v="SD1103" u="1"/>
        <s v="SU1090-1" u="1"/>
        <s v="SD1149" u="1"/>
        <s v="SD1137" u="1"/>
        <s v="SD1229" u="1"/>
        <s v="SD1125" u="1"/>
        <s v="SD1217" u="1"/>
        <s v="SD1309" u="1"/>
        <s v="SD1113" u="1"/>
        <s v="SD1205" u="1"/>
        <s v="SD1101" u="1"/>
        <s v="KM 491 RM" u="1"/>
        <s v="VUCE784" u="1"/>
        <s v="SD1159" u="1"/>
        <s v="VUCE785" u="1"/>
        <s v="SD1147" u="1"/>
        <s v="SD1239" u="1"/>
        <s v="SD1135" u="1"/>
        <s v="SD1227" u="1"/>
        <s v="VUCE786" u="1"/>
        <s v="SD1123" u="1"/>
        <s v="SD1215" u="1"/>
        <s v="SD1111" u="1"/>
        <s v="SD1203" u="1"/>
        <s v="VUCE787" u="1"/>
        <s v="VUCE880" u="1"/>
        <s v="VUCE788" u="1"/>
        <s v="VUCE881" u="1"/>
        <s v="VUCE789" u="1"/>
        <s v="VUCE882" u="1"/>
        <s v="VUCE883" u="1"/>
        <s v="VUCE884" u="1"/>
        <s v="SD1169" u="1"/>
        <s v="VUCE885" u="1"/>
        <s v=" VDEC757" u="1"/>
        <s v="SD1157" u="1"/>
        <s v="SD1249" u="1"/>
        <s v="SD1145" u="1"/>
        <s v="VUCE886" u="1"/>
        <s v="SD1133" u="1"/>
        <s v="SD1225" u="1"/>
        <s v="VDEC745-1 R " u="1"/>
        <s v="SD1121" u="1"/>
        <s v="SD1213" u="1"/>
        <s v="SD1305" u="1"/>
        <s v="VUCE887" u="1"/>
        <s v="SD1201" u="1"/>
        <s v="VUCE860" u="1"/>
        <s v="VUCE740" u="1"/>
        <s v="VUCE889" u="1"/>
        <s v="VUCE861" u="1"/>
        <s v="VDEC 761" u="1"/>
        <s v="VUCE863" u="1"/>
        <s v="SD1099" u="1"/>
        <s v="VUCE864" u="1"/>
        <s v="SD1179" u="1"/>
        <s v="SD1167" u="1"/>
        <s v="SD1259" u="1"/>
        <s v="VUCE865" u="1"/>
        <s v="SD1155" u="1"/>
        <s v="SD1247" u="1"/>
        <s v="SD1339" u="1"/>
        <s v="SD1143" u="1"/>
        <s v="SD1327" u="1"/>
        <s v="VUCE866" u="1"/>
        <s v="SD1131" u="1"/>
        <s v="SD1315" u="1"/>
        <s v="SD1211" u="1"/>
        <s v="SD1303" u="1"/>
        <s v="VUCE867" u="1"/>
        <s v="VUCE868" u="1"/>
        <s v="V-BAQCTG125-1" u="1"/>
        <s v="VUCE840" u="1"/>
        <s v="SD 1173" u="1"/>
        <s v="VUCE869" u="1"/>
        <s v="VUCE841" u="1"/>
        <s v="VUCE842" u="1"/>
        <s v="VUCE843" u="1"/>
        <s v="CTGBAQ110" u="1"/>
        <s v="SD1097" u="1"/>
        <s v="SD1189" u="1"/>
        <s v="VUCE844" u="1"/>
        <s v="SD1177" u="1"/>
        <s v="SD1269" u="1"/>
        <s v="SD1165" u="1"/>
        <s v="SD1257" u="1"/>
        <s v="SD1349" u="1"/>
        <s v="SD 1298" u="1"/>
        <s v="VUCE845" u="1"/>
        <s v="SD1153" u="1"/>
        <s v="SD1245" u="1"/>
        <s v="SD1337" u="1"/>
        <s v="VUCE846" u="1"/>
        <s v="V-BAQCTG114-1" u="1"/>
        <s v="SD1221" u="1"/>
        <s v="SD1313" u="1"/>
        <s v="VCTGBAQ139" u="1"/>
        <s v="SD1301" u="1"/>
        <s v="VUCE847" u="1"/>
        <s v="Km 110 CD" u="1"/>
        <s v="VUCE848" u="1"/>
        <s v="VUCE820" u="1"/>
        <s v="VUCE849" u="1"/>
        <s v="VUCE822" u="1"/>
        <s v="VUCE823" u="1"/>
        <s v="SD1199" u="1"/>
        <s v="SD1095" u="1"/>
        <s v="SD1187" u="1"/>
        <s v="SD1279" u="1"/>
        <s v="VUCE824" u="1"/>
        <s v="V-BAQCTG103-1" u="1"/>
        <s v="SD1175" u="1"/>
        <s v="SD1267" u="1"/>
        <s v="SD1163" u="1"/>
        <s v="SD1255" u="1"/>
        <s v="SD1347" u="1"/>
        <s v="VUCE825" u="1"/>
        <s v="SD1151" u="1"/>
        <s v="SD1243" u="1"/>
        <s v="SD1335" u="1"/>
        <s v="SD1231" u="1"/>
        <s v="VUCE826" u="1"/>
        <s v="SD1311" u="1"/>
        <s v="VUCE827" u="1"/>
        <s v="VUCE920" u="1"/>
        <s v="VUCE828" u="1"/>
        <s v="VUCE800" u="1"/>
        <s v="VUCE921" u="1"/>
        <s v="VUCE829" u="1"/>
        <s v="VUCE801" u="1"/>
        <s v="VUCE922" u="1"/>
        <s v="VUCE802" u="1"/>
        <s v="VUCE803" u="1"/>
        <s v="VDEC1245" u="1"/>
        <s v="SD1197" u="1"/>
        <s v="SD1289" u="1"/>
        <s v="VUCE924" u="1"/>
        <s v="SD1093" u="1"/>
        <s v="SD1185" u="1"/>
        <s v="SD1277" u="1"/>
        <s v="VUCE804" u="1"/>
        <s v="SD1265" u="1"/>
        <s v="VUCE925" u="1"/>
        <s v="SD1161" u="1"/>
        <s v="SD1253" u="1"/>
        <s v="SD1345" u="1"/>
        <s v="VUCE805" u="1"/>
        <s v="SD1241" u="1"/>
        <s v="SD1333" u="1"/>
        <s v="VUCE926" u="1"/>
        <s v="VUCE806" u="1"/>
        <s v="VUCE927" u="1"/>
        <s v="VUCE807" u="1"/>
        <s v="VUCE928" u="1"/>
        <s v="VUCE900" u="1"/>
        <s v="SU1019" u="1"/>
        <s v="VUCE929" u="1"/>
        <s v="VUCE901" u="1"/>
        <s v="VUCE809" u="1"/>
        <s v="VUCE902" u="1"/>
        <s v="VUCE903" u="1"/>
        <s v="SD1299" u="1"/>
        <s v="SD1195" u="1"/>
        <s v="SD1287" u="1"/>
        <s v="VUCE904" u="1"/>
        <s v="SD1275" u="1"/>
        <s v="SD1171" u="1"/>
        <s v="SD1263" u="1"/>
        <s v="SD1355" u="1"/>
        <s v="VUCE905" u="1"/>
        <s v="SD1251" u="1"/>
        <s v="SD1343" u="1"/>
        <s v="SD1331" u="1"/>
        <s v="VUCE906" u="1"/>
        <s v="VUCE907" u="1"/>
        <s v="VUCE908" u="1"/>
        <s v="SU1017" u="1"/>
        <s v="SU1109" u="1"/>
        <s v="CTGBAQ104" u="1"/>
        <s v="CTGBAQ112" u="1"/>
        <s v="SD1297" u="1"/>
        <s v="SD1193" u="1"/>
        <s v="SD1285" u="1"/>
        <s v="SD1181" u="1"/>
        <s v="SD1273" u="1"/>
        <s v="SD1261" u="1"/>
        <s v="SD1353" u="1"/>
        <s v="SD1341" u="1"/>
        <s v="VDEC781-1" u="1"/>
        <s v="SD1141 " u="1"/>
        <s v="SU1039" u="1"/>
        <s v="SU1027" u="1"/>
        <s v="SU1119" u="1"/>
        <s v="V-CTBAQ134" u="1"/>
        <s v="SU1107" u="1"/>
        <s v="SD1295" u="1"/>
        <s v="SD1191" u="1"/>
        <s v="SD1283" u="1"/>
        <s v="SD1271" u="1"/>
        <s v="VDEC760-1" u="1"/>
        <s v="SD1351" u="1"/>
        <s v="SU1037" u="1"/>
        <s v="SU1129" u="1"/>
        <s v="SU1025" u="1"/>
        <s v="SU1117" u="1"/>
        <s v="SU1209" u="1"/>
        <s v="SU1105" u="1"/>
        <s v="VDEC765-1" u="1"/>
        <s v="CTGBAQ121" u="1"/>
        <s v="V BAQCTG117" u="1"/>
        <s v="SD1293" u="1"/>
        <s v="SD1281" u="1"/>
        <s v="VUCE 897" u="1"/>
        <s v="SU1059" u="1"/>
        <s v="SU1047" u="1"/>
        <s v="SU1139" u="1"/>
        <s v="SU1035" u="1"/>
        <s v="SU1127" u="1"/>
        <s v="SU1219" u="1"/>
        <s v="SU1023" u="1"/>
        <s v="SU1115" u="1"/>
        <s v="SU1207" u="1"/>
        <s v="SU1103" u="1"/>
        <s v="VDEC746-1" u="1"/>
        <s v="SD1291" u="1"/>
        <s v="VDEC869-1" u="1"/>
        <s v="SU1069" u="1"/>
        <s v="SU1057" u="1"/>
        <s v="SU1149" u="1"/>
        <s v="SU1045" u="1"/>
        <s v="SU1137" u="1"/>
        <s v="SU1229" u="1"/>
        <s v="SU1033" u="1"/>
        <s v="SU1125" u="1"/>
        <s v="SU1217" u="1"/>
        <s v="SU1113" u="1"/>
        <s v="SU1205" u="1"/>
        <s v="V-BAQCTG1116" u="1"/>
        <s v="SU1101" u="1"/>
        <s v="CTGBAQ122" u="1"/>
        <s v="V - CTGBAQ105" u="1"/>
        <s v="VDEC848-1" u="1"/>
        <s v="VDEC849-1" u="1"/>
        <s v="SU1067" u="1"/>
        <s v="SU1055" u="1"/>
        <s v="SU1147" u="1"/>
        <s v="SU1239" u="1"/>
        <s v="SU1135" u="1"/>
        <s v="SU1227" u="1"/>
        <s v="SU 1090" u="1"/>
        <s v="SU1031" u="1"/>
        <s v="SU1123" u="1"/>
        <s v="SU1215" u="1"/>
        <s v="SU1111" u="1"/>
        <s v="SU1203" u="1"/>
        <s v="SU1089" u="1"/>
        <s v="SU1077" u="1"/>
        <s v="SU1169" u="1"/>
        <s v="VDEC802-1" u="1"/>
        <s v="SU1065" u="1"/>
        <s v="SU1157" u="1"/>
        <s v="SU1249" u="1"/>
        <s v="SU1053" u="1"/>
        <s v="SU1145" u="1"/>
        <s v="SU1237" u="1"/>
        <s v="CTGBAQ115" u="1"/>
        <s v="VDEC803-1" u="1"/>
        <s v="SU1041" u="1"/>
        <s v="SU1133" u="1"/>
        <s v="SU1121" u="1"/>
        <s v="SD1597" u="1"/>
        <s v="SU1099" u="1"/>
        <s v="SU1179" u="1"/>
        <s v="SU1075" u="1"/>
        <s v="SU1167" u="1"/>
        <s v="SU1063" u="1"/>
        <s v="SU1155" u="1"/>
        <s v="SU1247" u="1"/>
        <s v="SU1051" u="1"/>
        <s v="SU1143" u="1"/>
        <s v="SU1235" u="1"/>
        <s v="SU1131" u="1"/>
        <s v="SU1211" u="1"/>
        <s v="SD1225-1" u="1"/>
        <s v="SU1097" u="1"/>
        <s v="SU1189" u="1"/>
        <s v="SU1085" u="1"/>
        <s v="SU1177" u="1"/>
        <s v="SU1073" u="1"/>
        <s v="SU1165" u="1"/>
        <s v="SU1061" u="1"/>
        <s v="SU1245" u="1"/>
        <s v="SU1141" u="1"/>
        <s v="SU1233" u="1"/>
        <s v="SU1221" u="1"/>
        <s v="SD1167-1" u="1"/>
        <s v="VDEC790" u="1"/>
        <s v="VUCE 911" u="1"/>
        <s v="SU1199" u="1"/>
        <s v="V-CTGBAQ124B" u="1"/>
        <s v="VDEC791" u="1"/>
        <s v="SU1095" u="1"/>
        <s v="SU1187" u="1"/>
        <s v="VDEC699" u="1"/>
        <s v="SU1083" u="1"/>
        <s v="SU1175" u="1"/>
        <s v="SU1359" u="1"/>
        <s v="VDEC792" u="1"/>
        <s v="SU1071" u="1"/>
        <s v="SU1163" u="1"/>
        <s v="SU1255" u="1"/>
        <s v="SU1151" u="1"/>
        <s v="SU1243" u="1"/>
        <s v="VDEC793" u="1"/>
        <s v="SU1231" u="1"/>
        <s v="SD1165-1" u="1"/>
        <s v="VDEC794" u="1"/>
        <s v="VDEC795" u="1"/>
        <s v="VDEC796" u="1"/>
        <s v="VDEC797" u="1"/>
        <s v="VDEC798" u="1"/>
        <s v="VDEC770" u="1"/>
        <s v="SU1197" u="1"/>
        <s v="VDEC799" u="1"/>
        <s v="VDEC771" u="1"/>
        <s v="SU1093" u="1"/>
        <s v="SU1185" u="1"/>
        <s v="CTGBAQ117" u="1"/>
        <s v="SU1081" u="1"/>
        <s v="SU1173" u="1"/>
        <s v="VDEC772" u="1"/>
        <s v="V-BAQCTG140" u="1"/>
        <s v="SU1161" u="1"/>
        <s v="SU1253" u="1"/>
        <s v="SU1241" u="1"/>
        <s v="VDEC773" u="1"/>
        <s v="SD1175-1" u="1"/>
        <s v="VDEC" u="1"/>
        <s v="VDEC774" u="1"/>
        <s v="V-BAQCTG141" u="1"/>
        <s v="SD1243-1" u="1"/>
        <s v="VDEC775" u="1"/>
        <s v="VDEC777" u="1"/>
        <s v="VDEC870" u="1"/>
        <s v="VDEC778" u="1"/>
        <s v="VDEC750" u="1"/>
        <s v="VDEC871" u="1"/>
        <s v="SU1195" u="1"/>
        <s v="SU11256" u="1"/>
        <s v="VDEC779" u="1"/>
        <s v="SU1091" u="1"/>
        <s v="SU1183" u="1"/>
        <s v="SU1171" u="1"/>
        <s v="VDEC752" u="1"/>
        <s v="V-BAQCTG130" u="1"/>
        <s v="SU1251" u="1"/>
        <s v="SD1289-1" u="1"/>
        <s v="VDEC873" u="1"/>
        <s v="SD1277-1" u="1"/>
        <s v="VDEC753" u="1"/>
        <s v="SD1249-2" u="1"/>
        <s v="VDEC874" u="1"/>
        <s v="BAQCTG110" u="1"/>
        <s v="V-BAQCTG145" u="1"/>
        <s v="VDEC754" u="1"/>
        <s v="V-BAQCTG131" u="1"/>
        <s v="VDEC875" u="1"/>
        <s v="VDEC755" u="1"/>
        <s v="VDEC876" u="1"/>
        <s v="V-BAQCTG146" u="1"/>
        <s v="VDEC756" u="1"/>
        <s v="VDEC878" u="1"/>
        <s v="VDEC850" u="1"/>
        <s v="V-BAQCTG147" u="1"/>
        <s v="VDEC758" u="1"/>
        <s v="VDEC851" u="1"/>
        <s v="V-BAQCTG027" u="1"/>
        <s v="SU1193" u="1"/>
        <s v="SU1181" u="1"/>
        <s v="VDEC852" u="1"/>
        <s v="SU1261" u="1"/>
        <s v="V-BAQCTG134" u="1"/>
        <s v="V-BAQCTG120" u="1"/>
        <s v="VDEC853" u="1"/>
        <s v="CTGBAQ134" u="1"/>
        <s v="SD1183-1" u="1"/>
        <s v="VDEC854" u="1"/>
        <s v="V-BAQCTG149" u="1"/>
        <s v="V-BAQCTG135" u="1"/>
        <s v="V-BAQCTG121" u="1"/>
        <s v="VDEC855" u="1"/>
        <s v="VDEC856" u="1"/>
        <s v="V-BAQCTG136" u="1"/>
        <s v="V-BAQCTG122" u="1"/>
        <s v="VDEC857" u="1"/>
        <s v="VDEC858" u="1"/>
        <s v="VDEC830" u="1"/>
        <s v="VDEC738" u="1"/>
        <s v="VDEC859" u="1"/>
        <s v="VDEC751 " u="1"/>
        <s v="VDEC831" u="1"/>
        <s v="VDEC739" u="1"/>
        <s v="SU1363" u="1"/>
        <s v="VDEC832" u="1"/>
        <s v="V-BAQCTG138" u="1"/>
        <s v="SU1351" u="1"/>
        <s v="v-BAQCTG124" u="1"/>
        <s v="V-BAQCTG110" u="1"/>
        <s v="VDEC833" u="1"/>
        <s v="SD1257-2" u="1"/>
        <s v="VDEC834" u="1"/>
        <s v="V-BAQCTG125" u="1"/>
        <s v="VDEC835" u="1"/>
        <s v="VDEC836" u="1"/>
        <s v="V-BAQCTG126" u="1"/>
        <s v="VDEC837" u="1"/>
        <s v="VDEC838" u="1"/>
        <s v="VDEC810" u="1"/>
        <s v="V-BAQCTG113" u="1"/>
        <s v="VDEC839" u="1"/>
        <s v="VDEC811" u="1"/>
        <s v="SU1361" u="1"/>
        <s v="VDEC812" u="1"/>
        <s v="V-BAQCTG114" u="1"/>
        <s v="VDEC813" u="1"/>
        <s v="SD1363-1" u="1"/>
        <s v="VDEC814" u="1"/>
        <s v="V-BAQCTG115" u="1"/>
        <s v="VDEC815" u="1"/>
        <s v="VDEC816" u="1"/>
        <s v="V-BAQCTG102" u="1"/>
        <s v="VDEC817" u="1"/>
        <s v="VDEC818" u="1"/>
        <s v="VDEC819" u="1"/>
        <s v="V-BAQCTG118" u="1"/>
        <s v="VDEC 796" u="1"/>
        <s v="VDEC918" u="1"/>
        <s v="V-BAQCTG107" u="1"/>
        <s v="VDEC919" u="1"/>
        <s v="V-BAQCTG108" u="1"/>
        <s v="V-BAQCTG109" u="1"/>
        <s v="VUCE785-1" u="1"/>
        <s v="VUCE787-1" u="1"/>
        <s v="SU1205-1" u="1"/>
        <s v="VUCE880-1" u="1"/>
        <s v="BAQCTG105" u="1"/>
        <s v="VUCE789-1" u="1"/>
        <s v="SU1067-1" u="1"/>
        <s v="VUCE860-1" u="1"/>
        <s v="CTGBAQ137" u="1"/>
        <s v="VUCE864-1" u="1"/>
        <s v="SU1237-1" u="1"/>
        <s v=" VUCE784-1" u="1"/>
        <s v="BAQCTG106" u="1"/>
        <s v="VUCE868-1" u="1"/>
        <s v="VUCE842-1" u="1"/>
        <s v="VUCE860-2" u="1"/>
        <s v="CTGBAQ138" u="1"/>
        <s v="VUCE821-1" u="1"/>
        <s v=" SD1128" u="1"/>
        <s v="VUCE823-1" u="1"/>
        <s v=" SD1129" u="1"/>
        <s v=" SU1029" u="1"/>
        <s v="SD1108" u="1"/>
        <s v="VUCE827-1" u="1"/>
        <s v="VUCE921-1" u="1"/>
        <s v="BAQCTG123" u="1"/>
        <s v="VUCE922-1" u="1"/>
        <s v="VUCE923-1" u="1"/>
        <s v="VUCE924-1" u="1"/>
        <s v="SU1359-1" u="1"/>
        <s v="SU1243-1" u="1"/>
        <s v="SD1106" u="1"/>
        <s v="VUCE928-1" u="1"/>
        <s v="VUCE900-1" u="1"/>
        <s v="VUCE904-1" u="1"/>
        <s v="SD1116" u="1"/>
        <s v="SD1208" u="1"/>
        <s v="BAQCTG132" u="1"/>
        <s v="VUCE923-2" u="1"/>
        <s v="BAQCTG140" u="1"/>
        <s v="17/12/2021 PM" u="1"/>
        <s v="SD1138" u="1"/>
        <s v="SU1251-1" u="1"/>
        <s v="SD1218" u="1"/>
        <s v="SD1114" u="1"/>
        <s v="SD1206" u="1"/>
        <s v="SD1102" u="1"/>
        <s v="CD1354" u="1"/>
        <s v="VUCE790" u="1"/>
        <s v="VUCE791" u="1"/>
        <s v="VUCE823-3" u="1"/>
        <s v="VUCE792" u="1"/>
        <s v="VUCE794" u="1"/>
        <s v="VUCE795" u="1"/>
        <s v="SD1148" u="1"/>
        <s v="SD1136" u="1"/>
        <s v="SD1228" u="1"/>
        <s v="VUCE796" u="1"/>
        <s v="SD1124" u="1"/>
        <s v="SD1216" u="1"/>
        <s v="SD1308" u="1"/>
        <s v="SD1112" u="1"/>
        <s v="SD1204" u="1"/>
        <s v="VUCE797" u="1"/>
        <s v="SD1100" u="1"/>
        <s v="VBAQCTG112" u="1"/>
        <s v="VUCE890" u="1"/>
        <s v="VUCE798" u="1"/>
        <s v="VUCE891" u="1"/>
        <s v="VUCE799" u="1"/>
        <s v="VUCE892" u="1"/>
        <s v="VUCE894" u="1"/>
        <s v="VUCE" u="1"/>
        <s v="VUCE895" u="1"/>
        <s v="SD1158" u="1"/>
        <s v="SD1146" u="1"/>
        <s v="SD1238" u="1"/>
        <s v="VUCE896" u="1"/>
        <s v="SD1134" u="1"/>
        <s v="SD1226" u="1"/>
        <s v="SD1122" u="1"/>
        <s v="SD1214" u="1"/>
        <s v="SD1306" u="1"/>
        <s v="VUCE897" u="1"/>
        <s v="SD1110" u="1"/>
        <s v="SD1202" u="1"/>
        <s v="VUCE898" u="1"/>
        <s v="VUCE870" u="1"/>
        <s v="VUCE899" u="1"/>
        <s v="VUCE871" u="1"/>
        <s v="VUCE872" u="1"/>
        <s v="VUCE793 " u="1"/>
        <s v="VUCE873" u="1"/>
        <s v="VUCE874" u="1"/>
        <s v="SD1168" u="1"/>
        <s v="VUCE875" u="1"/>
        <s v="VBAQCTG146" u="1"/>
        <s v="SD1156" u="1"/>
        <s v="SD1248" u="1"/>
        <s v="SD1144" u="1"/>
        <s v="SD1236" u="1"/>
        <s v="VUCE876" u="1"/>
        <s v="SD1132" u="1"/>
        <s v="SD1224" u="1"/>
        <s v="SD1316" u="1"/>
        <s v="SD1120" u="1"/>
        <s v="VUCE877" u="1"/>
        <s v="SD1200" u="1"/>
        <s v="VUCE878" u="1"/>
        <s v="VUCE850" u="1"/>
        <s v="VUCE879" u="1"/>
        <s v="VUCE851" u="1"/>
        <s v="VUCE852" u="1"/>
        <s v="VUCE853" u="1"/>
        <s v="SD1098" u="1"/>
        <s v="VUCE854" u="1"/>
        <s v="SD1178" u="1"/>
        <s v="SD1258" u="1"/>
        <s v="VUCE855" u="1"/>
        <s v="SD1154" u="1"/>
        <s v="SD1142" u="1"/>
        <s v="SD1234" u="1"/>
        <s v="VUCE856" u="1"/>
        <s v="SD1222" u="1"/>
        <s v="SD1314" u="1"/>
        <s v="SD1210" u="1"/>
        <s v="SD1302" u="1"/>
        <s v="VUCE857" u="1"/>
        <s v="SD" u="1"/>
        <s v="VUCE858" u="1"/>
        <s v="VUCE859" u="1"/>
        <s v="VUCE831" u="1"/>
        <s v="VUCE739" u="1"/>
        <s v="VUCE832" u="1"/>
        <s v="VUCE833" u="1"/>
        <s v="SD1096" u="1"/>
        <s v="SD1188" u="1"/>
        <s v="VUCE834" u="1"/>
        <s v="SD1176" u="1"/>
        <s v="SD1268" u="1"/>
        <s v="SD1164" u="1"/>
        <s v="SD1256" u="1"/>
        <s v="SD1348" u="1"/>
        <s v="VUCE835" u="1"/>
        <s v="V-CTGBAQ144-1" u="1"/>
        <s v="SD1152" u="1"/>
        <s v="SD1244" u="1"/>
        <s v="SD1336" u="1"/>
        <s v="SD1232" u="1"/>
        <s v="VUCE836" u="1"/>
        <s v="SD1220" u="1"/>
        <s v="SD1312" u="1"/>
        <s v="SD1300" u="1"/>
        <s v="VUCE837" u="1"/>
        <s v="VUCE838" u="1"/>
        <s v="VUCE810" u="1"/>
        <s v="CTGBAQ104-1" u="1"/>
        <s v="VUCE931" u="1"/>
        <s v="VUCE839" u="1"/>
        <s v="VUCE811" u="1"/>
        <s v="VUCE932" u="1"/>
        <s v="VUCE812" u="1"/>
        <s v="VUCE813" u="1"/>
        <s v="SD1198" u="1"/>
        <s v="SD1094" u="1"/>
        <s v="SD1186" u="1"/>
        <s v="SD1278" u="1"/>
        <s v="VUCE814" u="1"/>
        <s v="SD1174" u="1"/>
        <s v="SD1266" u="1"/>
        <s v="SD1358" u="1"/>
        <s v="SD1162" u="1"/>
        <s v="SD1254" u="1"/>
        <s v="SD1346" u="1"/>
        <s v="VUCE815" u="1"/>
        <s v="VBAQCTG143" u="1"/>
        <s v="SD1150" u="1"/>
        <s v="SD1242" u="1"/>
        <s v="SD1230" u="1"/>
        <s v="VUCE816" u="1"/>
        <s v="VBAQCTG131" u="1"/>
        <s v="SD1310" u="1"/>
        <s v="VUCE817" u="1"/>
        <s v="VUCE818" u="1"/>
        <s v="VCTGBAQ143-1" u="1"/>
        <s v="VUCE819" u="1"/>
        <s v="VUCE912" u="1"/>
        <s v="VUCE913" u="1"/>
        <s v="v-CTGBAQ123-1" u="1"/>
        <s v="SD1196" u="1"/>
        <s v="SD1288" u="1"/>
        <s v="VUCE914" u="1"/>
        <s v="SD1092" u="1"/>
        <s v="SD1184" u="1"/>
        <s v="SD1264" u="1"/>
        <s v="SD1356" u="1"/>
        <s v="VUCE915" u="1"/>
        <s v="SD1160" u="1"/>
        <s v="SD1252" u="1"/>
        <s v="SD1344" u="1"/>
        <s v="BAQCTG128" u="1"/>
        <s v="VBAQCTG142" u="1"/>
        <s v="SD1240" u="1"/>
        <s v="SD1332" u="1"/>
        <s v="BAQCTG138A" u="1"/>
        <s v="VUCE917" u="1"/>
        <s v="SU1018" u="1"/>
        <s v="BAQCTG" u="1"/>
        <s v="VUCE919" u="1"/>
        <s v="V-CTGBAQ126-1" u="1"/>
        <s v="SD1298" u="1"/>
        <s v="SD1194" u="1"/>
        <s v="SD1182" u="1"/>
        <s v="SD1274" u="1"/>
        <s v="VDEC698-1" u="1"/>
        <s v="SD1170" u="1"/>
        <s v="SD1262" u="1"/>
        <s v="SD1354" u="1"/>
        <s v="SD1250" u="1"/>
        <s v="SD1342" u="1"/>
        <s v="SD1330" u="1"/>
        <s v="SU1028" u="1"/>
        <s v="SU1016" u="1"/>
        <s v="SU1108" u="1"/>
        <s v="SD1296" u="1"/>
        <s v="V-CTGBAQ103-1" u="1"/>
        <s v="SD1192" u="1"/>
        <s v="SD1284" u="1"/>
        <s v=" V-CTGBAQ106-1" u="1"/>
        <s v="SD1180" u="1"/>
        <s v="SD1272" u="1"/>
        <s v="BAQCTG129" u="1"/>
        <s v="SD1260" u="1"/>
        <s v="SD1352" u="1"/>
        <s v="SD1340" u="1"/>
        <s v="VDEC771-1" u="1"/>
        <s v="SU1038" u="1"/>
        <s v="SU1026" u="1"/>
        <s v="SU1118" u="1"/>
        <s v="VDEC774-1" u="1"/>
        <s v="SU1106" u="1"/>
        <s v="VDEC776-1" u="1"/>
        <s v="SD1294" u="1"/>
        <s v="SD1190" u="1"/>
        <s v="SD1282" u="1"/>
        <s v="SD1270" u="1"/>
        <s v="SD1350" u="1"/>
        <s v="SU1048" u="1"/>
        <s v="SU1036" u="1"/>
        <s v="SU1128" u="1"/>
        <s v="SU1024" u="1"/>
        <s v="SU1116" u="1"/>
        <s v="SU1208" u="1"/>
        <s v="SU1104" u="1"/>
        <s v="SD1292" u="1"/>
        <s v="SD1280" u="1"/>
        <s v="SD1360" u="1"/>
        <s v="SU1058" u="1"/>
        <s v="SU1046" u="1"/>
        <s v="SU1138" u="1"/>
        <s v="SU1034" u="1"/>
        <s v="SU1126" u="1"/>
        <s v="SU1218" u="1"/>
        <s v="SU1022" u="1"/>
        <s v="SU1114" u="1"/>
        <s v="SU1206" u="1"/>
        <s v="SU1102" u="1"/>
        <s v="VDEC855-1" u="1"/>
        <s v="SD1290" u="1"/>
        <s v="SU1068" u="1"/>
        <s v="SU1056" u="1"/>
        <s v="SU1148" u="1"/>
        <s v="SU1044" u="1"/>
        <s v="SU1136" u="1"/>
        <s v="SU1228" u="1"/>
        <s v="SU1032" u="1"/>
        <s v="SU1124" u="1"/>
        <s v="SU1216" u="1"/>
        <s v="SU1020" u="1"/>
        <s v="SU1112" u="1"/>
        <s v="SU1204" u="1"/>
        <s v="SU1100" u="1"/>
        <s v="VDEC810-1" u="1"/>
      </sharedItems>
    </cacheField>
    <cacheField name="Ubicación" numFmtId="0">
      <sharedItems containsBlank="1" count="858">
        <s v="Km 432-RM"/>
        <s v="Boya Puerto Bahia"/>
        <s v="Itbb"/>
        <s v="Cofiba"/>
        <s v="Km 71-CD"/>
        <s v="Km 462-RM"/>
        <s v="Boya Ecopetrol"/>
        <s v="Km 602-RM"/>
        <s v="Km 505-RM"/>
        <s v="Mardique"/>
        <s v="" u="1"/>
        <s v="Ca" u="1"/>
        <m u="1"/>
        <s v="Boya Opon" u="1"/>
        <s v="Km 191-CD" u="1"/>
        <s v="Zona Alterna Muelle Compas" u="1"/>
        <s v="Km 16-CD" u="1"/>
        <s v="Km 24-CD" u="1"/>
        <s v="Ecopetrol" u="1"/>
        <s v="Km 32-CD" u="1"/>
        <s v="Km 40-CD" u="1"/>
        <s v="Ecopetrol Barrancabermeja" u="1"/>
        <s v="Boya De Ecopetrol " u="1"/>
        <s v="Km 385-CD" u="1"/>
        <s v="Km 17-CD" u="1"/>
        <s v="Km 25-CD" u="1"/>
        <s v="Km 9-RM" u="1"/>
        <s v="Km 33-CD" u="1"/>
        <s v="Km 41-CD" u="1"/>
        <s v="Km 109-RM" u="1"/>
        <s v="Puerto Pimsa" u="1"/>
        <s v="Km 18-CD" u="1"/>
        <s v="Km 26-CD" u="1"/>
        <s v="Km 34-CD" u="1"/>
        <s v="Km 42-CD" u="1"/>
        <s v="Km 50-CD" u="1"/>
        <s v="Km 119-RM" u="1"/>
        <s v="Km 107-RM" u="1"/>
        <s v="Boya De P. Bahia" u="1"/>
        <s v="Boya Pb" u="1"/>
        <s v="Km 19-CD" u="1"/>
        <s v="Km 27-CD" u="1"/>
        <s v="Km 35-CD" u="1"/>
        <s v="Ecopetrol Bej" u="1"/>
        <s v="Km 43-CD" u="1"/>
        <s v="Km 51-CD" u="1"/>
        <s v="Km 129-RM" u="1"/>
        <s v="Km 117-RM" u="1"/>
        <s v="Km 209-RM" u="1"/>
        <s v="Km 105-RM" u="1"/>
        <s v="Bahía" u="1"/>
        <s v="Km 28-CD" u="1"/>
        <s v="Km 36-CD" u="1"/>
        <s v="Km 44-CD" u="1"/>
        <s v="Km 52-CD" u="1"/>
        <s v="Km 60-CD" u="1"/>
        <s v="Km 139-RM" u="1"/>
        <s v="Km 127-RM" u="1"/>
        <s v="Km 219-RM" u="1"/>
        <s v="Astinaves" u="1"/>
        <s v="Km 115-RM" u="1"/>
        <s v="Km 207-RM" u="1"/>
        <s v="Ccto" u="1"/>
        <s v="Km 103-RM" u="1"/>
        <s v="Km 29-CD" u="1"/>
        <s v="Km 37-CD" u="1"/>
        <s v="Km 45-CD" u="1"/>
        <s v="Km 53-CD" u="1"/>
        <s v="Km 61-CD" u="1"/>
        <s v="Km 149-RM" u="1"/>
        <s v="Km 137-RM" u="1"/>
        <s v="Km 229-RM" u="1"/>
        <s v="Km 125-RM" u="1"/>
        <s v="Km 217-RM" u="1"/>
        <s v="Km 309-RM" u="1"/>
        <s v="Km 113-RM" u="1"/>
        <s v="Km 205-RM" u="1"/>
        <s v="Km 101-RM" u="1"/>
        <s v="Muelle Ecopetrol" u="1"/>
        <s v="Codis" u="1"/>
        <s v="Psp" u="1"/>
        <s v="Km 38-CD" u="1"/>
        <s v="Km 46-CD" u="1"/>
        <s v="Km 54-CD" u="1"/>
        <s v="Km 62-CD" u="1"/>
        <s v="Km 70-CD" u="1"/>
        <s v="Km 159-RM" u="1"/>
        <s v="Km 239-RM" u="1"/>
        <s v="Km 135-RM" u="1"/>
        <s v="Km 227-RM" u="1"/>
        <s v="Km 319-RM" u="1"/>
        <s v="Km 123-RM" u="1"/>
        <s v="Km 215-RM" u="1"/>
        <s v="Km 307-RM" u="1"/>
        <s v="Km 111-RM" u="1"/>
        <s v="Km 203-RM" u="1"/>
        <s v="Km 39-CD" u="1"/>
        <s v="Km 47-CD" u="1"/>
        <s v="Km 55-CD" u="1"/>
        <s v="Km 63-CD" u="1"/>
        <s v="Pto Bahia" u="1"/>
        <s v="Km 169-RM" u="1"/>
        <s v="Km 157-RM" u="1"/>
        <s v="Km 249-RM" u="1"/>
        <s v="Boya De Ecopetrol" u="1"/>
        <s v="Km 145-RM" u="1"/>
        <s v="Km 237-RM" u="1"/>
        <s v="Km 329-RM" u="1"/>
        <s v="Km 133-RM" u="1"/>
        <s v="Km 225-RM" u="1"/>
        <s v="Km 317-RM" u="1"/>
        <s v="Km 409-RM" u="1"/>
        <s v="Km 121-RM" u="1"/>
        <s v="Km 213-RM" u="1"/>
        <s v="Km 305-RM" u="1"/>
        <s v="Boya Puerto Bahia " u="1"/>
        <s v="Km 48-CD" u="1"/>
        <s v="Km 56-CD" u="1"/>
        <s v="Km 64-CD" u="1"/>
        <s v="Km 72-CD" u="1"/>
        <s v="Km 179-RM" u="1"/>
        <s v="Km 80-CD" u="1"/>
        <s v="Km 167-RM" u="1"/>
        <s v="Km 259-RM" u="1"/>
        <s v="Km 247-RM" u="1"/>
        <s v="Km 339-RM" u="1"/>
        <s v="Km 143-RM" u="1"/>
        <s v="Km 235-RM" u="1"/>
        <s v="Km 327-RM" u="1"/>
        <s v="Km 419-RM" u="1"/>
        <s v="Muelle Puerto Bahia " u="1"/>
        <s v="Km 131-RM" u="1"/>
        <s v="Km 223-RM" u="1"/>
        <s v="Km 315-RM" u="1"/>
        <s v="Km 407-RM" u="1"/>
        <s v="Boya Puerto Bahía" u="1"/>
        <s v="Km 211-RM" u="1"/>
        <s v="Km 303-RM" u="1"/>
        <s v="Km 49-CD" u="1"/>
        <s v="Palermo" u="1"/>
        <s v="Km 57-CD" u="1"/>
        <s v="Km 65-CD" u="1"/>
        <s v="Km 73-CD" u="1"/>
        <s v="Km 189-RM" u="1"/>
        <s v="Km 81-CD" u="1"/>
        <s v="Km 177-RM" u="1"/>
        <s v="Km 269-RM" u="1"/>
        <s v="Km 257-RM" u="1"/>
        <s v="Km 349-RM" u="1"/>
        <s v="Km 245-RM" u="1"/>
        <s v="Km 337-RM" u="1"/>
        <s v="Km 429-RM" u="1"/>
        <s v="Km 141-RM" u="1"/>
        <s v="Km 233-RM" u="1"/>
        <s v="Km 325-RM" u="1"/>
        <s v="Km 417-RM" u="1"/>
        <s v="Km 509-RM" u="1"/>
        <s v="Km 221-RM" u="1"/>
        <s v="Km 313-RM" u="1"/>
        <s v="Km 405-RM" u="1"/>
        <s v="Km 58-CD" u="1"/>
        <s v="Km 66-CD" u="1"/>
        <s v="Km 74-CD" u="1"/>
        <s v="Km 82-CD" u="1"/>
        <s v="Km 187-RM" u="1"/>
        <s v="Km 279-RM" u="1"/>
        <s v="Km 90-CD" u="1"/>
        <s v="Km 267-RM" u="1"/>
        <s v="Km 359-RM" u="1"/>
        <s v="Km 163-RM" u="1"/>
        <s v="Km 255-RM" u="1"/>
        <s v="Km 347-RM" u="1"/>
        <s v="Km 439-RM" u="1"/>
        <s v="Km 151-RM" u="1"/>
        <s v="Km 243-RM" u="1"/>
        <s v="Km 335-RM" u="1"/>
        <s v="Km 427-RM" u="1"/>
        <s v="Km 519-RM" u="1"/>
        <s v="Km 231-RM" u="1"/>
        <s v="Km 323-RM" u="1"/>
        <s v="Km 415-RM" u="1"/>
        <s v="Km 507-RM" u="1"/>
        <s v="Km 311-RM" u="1"/>
        <s v="Km 403-RM" u="1"/>
        <s v="Sp Palermo" u="1"/>
        <s v="Km 435 Rm" u="1"/>
        <s v="Km 59-CD" u="1"/>
        <s v="Km 67-CD" u="1"/>
        <s v="Km 75-CD" u="1"/>
        <s v="Eco Eja" u="1"/>
        <s v="Km 83-CD" u="1"/>
        <s v="Km 197-RM" u="1"/>
        <s v="Km 289-RM" u="1"/>
        <s v="Km 91-CD" u="1"/>
        <s v="Km 185-RM" u="1"/>
        <s v="Km 277-RM" u="1"/>
        <s v="Km 369-RM" u="1"/>
        <s v="Km 173-RM" u="1"/>
        <s v="Km 265-RM" u="1"/>
        <s v="Km 357-RM" u="1"/>
        <s v="Km 449-RM" u="1"/>
        <s v="Km 161-RM" u="1"/>
        <s v="Km 253-RM" u="1"/>
        <s v="Km 345-RM" u="1"/>
        <s v="Km 437-RM" u="1"/>
        <s v="Km 529-RM" u="1"/>
        <s v="Km 241-RM" u="1"/>
        <s v="Km 333-RM" u="1"/>
        <s v="Km 425-RM" u="1"/>
        <s v="Km 517-RM" u="1"/>
        <s v="Km 609-RM" u="1"/>
        <s v="Km 321-RM" u="1"/>
        <s v="Km 401-RM" u="1"/>
        <s v="Km 68-CD" u="1"/>
        <s v="Km 76-CD" u="1"/>
        <s v="Km 84-CD" u="1"/>
        <s v="Km 92-CD" u="1"/>
        <s v="Km 195-RM" u="1"/>
        <s v="Km 287-RM" u="1"/>
        <s v="Km 379-RM" u="1"/>
        <s v="Km 275-RM" u="1"/>
        <s v="Km 367-RM" u="1"/>
        <s v="Km 459-RM" u="1"/>
        <s v="Muelle Sur Puerto Bahía" u="1"/>
        <s v="Km 171-RM" u="1"/>
        <s v="Km 263-RM" u="1"/>
        <s v="Km 355-RM" u="1"/>
        <s v="Km 447-RM" u="1"/>
        <s v="Km 539-RM" u="1"/>
        <s v="Km 251-RM" u="1"/>
        <s v="Km 343-RM" u="1"/>
        <s v="Km 435-RM" u="1"/>
        <s v="Km 527-RM" u="1"/>
        <s v="Km 619-RM" u="1"/>
        <s v="Km 331-RM" u="1"/>
        <s v="Km 423-RM" u="1"/>
        <s v="Km 515-RM" u="1"/>
        <s v="Km 607-RM" u="1"/>
        <s v="Km 411-RM" u="1"/>
        <s v="Km 503-RM" u="1"/>
        <s v="Km 69-CD" u="1"/>
        <s v="Km 77-CD" u="1"/>
        <s v="Eco Eja " u="1"/>
        <s v="Km 85-CD" u="1"/>
        <s v="Km 93-CD" u="1"/>
        <s v="Km 297-RM" u="1"/>
        <s v="Km 389-RM" u="1"/>
        <s v="Km 193-RM" u="1"/>
        <s v="Km 285-RM" u="1"/>
        <s v="Km 377-RM" u="1"/>
        <s v="Km 469-RM" u="1"/>
        <s v="Mantenimiento" u="1"/>
        <s v="Km 181-RM" u="1"/>
        <s v="Km 273-RM" u="1"/>
        <s v="Km 365-RM" u="1"/>
        <s v="Km 457-RM" u="1"/>
        <s v="Km 549-RM" u="1"/>
        <s v="Km 261-RM" u="1"/>
        <s v="Km 353-RM" u="1"/>
        <s v="Km 445-RM" u="1"/>
        <s v="Km 537-RM" u="1"/>
        <s v="Muelle Puerto Bahia" u="1"/>
        <s v="Km 341-RM" u="1"/>
        <s v="Km 433-RM" u="1"/>
        <s v="Km 525-RM" u="1"/>
        <s v="Km 617-RM" u="1"/>
        <s v="Km 421-RM" u="1"/>
        <s v="Km 513-RM" u="1"/>
        <s v="Km 605-RM" u="1"/>
        <s v="Km 501-RM" u="1"/>
        <s v="Km 78-CD" u="1"/>
        <s v="Tarapaca" u="1"/>
        <s v="Km 86-CD" u="1"/>
        <s v="Km 94-CD" u="1"/>
        <s v="Km 399-RM" u="1"/>
        <s v="Km 295-RM" u="1"/>
        <s v="Km 387-RM" u="1"/>
        <s v="Km 479-RM" u="1"/>
        <s v="Km 191-RM" u="1"/>
        <s v="Km 283-RM" u="1"/>
        <s v="Km 375-RM" u="1"/>
        <s v="Km 467-RM" u="1"/>
        <s v="Km 559-RM" u="1"/>
        <s v="Km 271-RM" u="1"/>
        <s v="Km 363-RM" u="1"/>
        <s v="Km 455-RM" u="1"/>
        <s v="Km 547-RM" u="1"/>
        <s v="Km 351-RM" u="1"/>
        <s v="Km 443-RM" u="1"/>
        <s v="Km 535-RM" u="1"/>
        <s v="Km 431-RM" u="1"/>
        <s v="Km 523-RM" u="1"/>
        <s v="Km 615-RM" u="1"/>
        <s v="Km 511-RM" u="1"/>
        <s v="Km 603-RM" u="1"/>
        <s v="Bpb" u="1"/>
        <s v="Camaronera" u="1"/>
        <s v="Km 79-CD" u="1"/>
        <s v="Km 87-CD" u="1"/>
        <s v="Km 95-CD" u="1"/>
        <s v="Km 489-RM" u="1"/>
        <s v="Km 293-RM" u="1"/>
        <s v="Km 385-RM" u="1"/>
        <s v="Km 477-RM" u="1"/>
        <s v="Km 569-RM" u="1"/>
        <s v="Km 281-RM" u="1"/>
        <s v="Km 373-RM" u="1"/>
        <s v="Km 465-RM" u="1"/>
        <s v="Km 557-RM" u="1"/>
        <s v="Km 361-RM" u="1"/>
        <s v="Km 453-RM" u="1"/>
        <s v="Km 545-RM" u="1"/>
        <s v="Km 441-RM" u="1"/>
        <s v="Km 533-RM" u="1"/>
        <s v="Km 625-RM" u="1"/>
        <s v="Km 521-RM" u="1"/>
        <s v="Km 613-RM" u="1"/>
        <s v="Km 601-RM" u="1"/>
        <s v="Km 88-CD" u="1"/>
        <s v="Km 96-CD" u="1"/>
        <s v="Bahia Ctg" u="1"/>
        <s v="Km 499-RM" u="1"/>
        <s v="Km 395-RM" u="1"/>
        <s v="Km 487-RM" u="1"/>
        <s v="Km 579-RM" u="1"/>
        <s v="Km 291-RM" u="1"/>
        <s v="Km 383-RM" u="1"/>
        <s v="Km 475-RM" u="1"/>
        <s v="Km 567-RM" u="1"/>
        <s v="Km 371-RM" u="1"/>
        <s v="Km 463-RM" u="1"/>
        <s v="Km 555-RM" u="1"/>
        <s v="Km 451-RM" u="1"/>
        <s v="Km 543-RM" u="1"/>
        <s v="Km 531-RM" u="1"/>
        <s v="Km 623-RM" u="1"/>
        <s v="Km 611-RM" u="1"/>
        <s v="Boya De Puerto Bahia" u="1"/>
        <s v="Pimsa" u="1"/>
        <s v="Km 89-CD" u="1"/>
        <s v="Km 97-CD" u="1"/>
        <s v="Km 497-RM" u="1"/>
        <s v="Km 589-RM" u="1"/>
        <s v="Km 393-RM" u="1"/>
        <s v="Km 485-RM" u="1"/>
        <s v="Km 577-RM" u="1"/>
        <s v="Km 381-RM" u="1"/>
        <s v="Km 473-RM" u="1"/>
        <s v="Km 565-RM" u="1"/>
        <s v="Km 461-RM" u="1"/>
        <s v="Km 553-RM" u="1"/>
        <s v="Km 541-RM" u="1"/>
        <s v="Km 621-RM" u="1"/>
        <s v="Muelle Puerto Bahía" u="1"/>
        <s v="Km 493 Rm" u="1"/>
        <s v="Eja" u="1"/>
        <s v="Km 98-CD" u="1"/>
        <s v="Km 599-RM" u="1"/>
        <s v="Km 495-RM" u="1"/>
        <s v="Km 587-RM" u="1"/>
        <s v="Km 391-RM" u="1"/>
        <s v="Km 483-RM" u="1"/>
        <s v="Km 575-RM" u="1"/>
        <s v="Km 471-RM" u="1"/>
        <s v="Km 563-RM" u="1"/>
        <s v="Km 551-RM" u="1"/>
        <s v="Km 595 Rm" u="1"/>
        <s v="Km 491 Rm" u="1"/>
        <s v="Km 99-CD" u="1"/>
        <s v="Km 108-CD" u="1"/>
        <s v="Km 597-RM" u="1"/>
        <s v="Km 493-RM" u="1"/>
        <s v="Km 585-RM" u="1"/>
        <s v="Km 481-RM" u="1"/>
        <s v="Km 573-RM" u="1"/>
        <s v="Muelle Carga Seca Pb" u="1"/>
        <s v="Km 106-CD" u="1"/>
        <s v="Km 595-RM" u="1"/>
        <s v="Km 491-RM" u="1"/>
        <s v="Km 583-RM" u="1"/>
        <s v="Km 571-RM" u="1"/>
        <s v="Km 128-CD" u="1"/>
        <s v="Km 116-CD" u="1"/>
        <s v="Km 208-CD" u="1"/>
        <s v="Km 104-CD" u="1"/>
        <s v="Km 593-RM" u="1"/>
        <s v="Km 581-RM" u="1"/>
        <s v="Eco_Itbb" u="1"/>
        <s v="Boya Ecopetrol " u="1"/>
        <s v="Km 114-CD" u="1"/>
        <s v="Km 206-CD" u="1"/>
        <s v="Km 102-CD" u="1"/>
        <s v="Km 591-RM" u="1"/>
        <s v="Boya De Puerto Bahía" u="1"/>
        <s v="Km 136-CD" u="1"/>
        <s v="Km 308-CD" u="1"/>
        <s v="Emgensa" u="1"/>
        <s v="Km 112-CD" u="1"/>
        <s v="Km 204-CD" u="1"/>
        <s v="Km 100-CD" u="1"/>
        <s v="Km 1-CD" u="1"/>
        <s v="Spdique" u="1"/>
        <s v="Km 122-CD" u="1"/>
        <s v="Km 110-CD" u="1"/>
        <s v="Km 168-CD" u="1"/>
        <s v="Km 156-CD" u="1"/>
        <s v="Km 144-CD" u="1"/>
        <s v="Km 224-CD" u="1"/>
        <s v="Km 2-CD" u="1"/>
        <s v="Km 166-CD" u="1"/>
        <s v="Km 258-CD" u="1"/>
        <s v="Km 338-CD" u="1"/>
        <s v="Km 222-CD" u="1"/>
        <s v="Palermo Sp" u="1"/>
        <s v="Puerto Bahía " u="1"/>
        <s v="Km 3-CD" u="1"/>
        <s v="Km 198-CD" u="1"/>
        <s v="Km 186-CD" u="1"/>
        <s v="Bahía Ctg" u="1"/>
        <s v="Km 196-CD" u="1"/>
        <s v="Emgesa" u="1"/>
        <s v="Puerto Bahía" u="1"/>
        <s v="Km 4-CD" u="1"/>
        <s v="Km 182-CD" u="1"/>
        <s v="Km 250-CD" u="1"/>
        <s v="Isla Rondón" u="1"/>
        <s v="Km 192-CD" u="1"/>
        <s v="Km 5-CD" u="1"/>
        <s v="Sp Dique" u="1"/>
        <s v="Contecar " u="1"/>
        <s v="Km 10-RM" u="1"/>
        <s v="Muelle Sur Pb" u="1"/>
        <s v="Sp.Dique" u="1"/>
        <s v="Boya De Opon" u="1"/>
        <s v="Km 292-CD" u="1"/>
        <s v="Contecar" u="1"/>
        <s v="Boya De Ecp" u="1"/>
        <s v="Emgesa " u="1"/>
        <s v="Km 11-RM" u="1"/>
        <s v="Km 6-CD" u="1"/>
        <s v="Km 108-RM" u="1"/>
        <s v="Km 12-RM" u="1"/>
        <s v="Km 20-RM" u="1"/>
        <s v="Pimsa (Zona Fleet)" u="1"/>
        <s v="Bahía De Ctg" u="1"/>
        <s v="Km 118-RM" u="1"/>
        <s v="Km 106-RM" u="1"/>
        <s v="Boya P. Bahia" u="1"/>
        <s v="Zona Fondeo" u="1"/>
        <s v="Km 380-CD" u="1"/>
        <s v="Km 13-RM" u="1"/>
        <s v="Km 21-RM" u="1"/>
        <s v="Km 7-CD" u="1"/>
        <s v="Boya De Pb" u="1"/>
        <s v="Km 128-RM" u="1"/>
        <s v="Km 116-RM" u="1"/>
        <s v="Km 208-RM" u="1"/>
        <s v="Km 104-RM" u="1"/>
        <s v="Boya De Pto Bahia" u="1"/>
        <s v="Km 14-RM" u="1"/>
        <s v="Km 30-RM" u="1"/>
        <s v="Km 138-RM" u="1"/>
        <s v="Km 126-RM" u="1"/>
        <s v="Km 218-RM" u="1"/>
        <s v="Km 114-RM" u="1"/>
        <s v="Km 206-RM" u="1"/>
        <s v="Km 102-RM" u="1"/>
        <s v="Km 15-RM" u="1"/>
        <s v="Km 23-RM" u="1"/>
        <s v="Km 31-RM" u="1"/>
        <s v="Eco-Eja" u="1"/>
        <s v="Km 8-CD" u="1"/>
        <s v="Km 148-RM" u="1"/>
        <s v="Km 136-RM" u="1"/>
        <s v="Km 228-RM" u="1"/>
        <s v="Km 124-RM" u="1"/>
        <s v="Km 216-RM" u="1"/>
        <s v="Km 308-RM" u="1"/>
        <s v="Km 112-RM" u="1"/>
        <s v="Km 204-RM" u="1"/>
        <s v="Km 100-RM" u="1"/>
        <s v="Km 16-RM" u="1"/>
        <s v="Km 24-RM" u="1"/>
        <s v="Km 40-RM" u="1"/>
        <s v="Km 158-RM" u="1"/>
        <s v="Km 146-RM" u="1"/>
        <s v="Km 238-RM" u="1"/>
        <s v="Km 134-RM" u="1"/>
        <s v="Km 226-RM" u="1"/>
        <s v="Km 318-RM" u="1"/>
        <s v="Km 122-RM" u="1"/>
        <s v="Km 214-RM" u="1"/>
        <s v="Km 306-RM" u="1"/>
        <s v="Km 110-RM" u="1"/>
        <s v="Km 202-RM" u="1"/>
        <s v="Canal De Acceso Baq" u="1"/>
        <s v="Km 17-RM" u="1"/>
        <s v="Km 25-RM" u="1"/>
        <s v="Km 33-RM" u="1"/>
        <s v="Boya Ecoctg" u="1"/>
        <s v="Km 41-RM" u="1"/>
        <s v="Km 9-CD" u="1"/>
        <s v="Km 168-RM" u="1"/>
        <s v="Km 156-RM" u="1"/>
        <s v="Km 248-RM" u="1"/>
        <s v="Km 144-RM" u="1"/>
        <s v="Km 236-RM" u="1"/>
        <s v="Km 224-RM" u="1"/>
        <s v="Km 316-RM" u="1"/>
        <s v="Km 408-RM" u="1"/>
        <s v="Km 212-RM" u="1"/>
        <s v="Km 304-RM" u="1"/>
        <s v="Km 200-RM" u="1"/>
        <s v="Km 18-RM" u="1"/>
        <s v="Km 34-RM" u="1"/>
        <s v="Km 42-RM" u="1"/>
        <s v="Km 50-RM" u="1"/>
        <s v="Km 178-RM" u="1"/>
        <s v="Isla Rondon" u="1"/>
        <s v="Km 166-RM" u="1"/>
        <s v="Km 258-RM" u="1"/>
        <s v="Dinacol" u="1"/>
        <s v="Km 154-RM" u="1"/>
        <s v="Km 246-RM" u="1"/>
        <s v="Km 338-RM" u="1"/>
        <s v="Km 142-RM" u="1"/>
        <s v="Km 234-RM" u="1"/>
        <s v="Km 326-RM" u="1"/>
        <s v="Km 418-RM" u="1"/>
        <s v="Km 130-RM" u="1"/>
        <s v="Km 222-RM" u="1"/>
        <s v="Km 314-RM" u="1"/>
        <s v="Km 406-RM" u="1"/>
        <s v="Itbb-Eco" u="1"/>
        <s v="Km 210-RM" u="1"/>
        <s v="Km 19-RM" u="1"/>
        <s v="Km 51-RM" u="1"/>
        <s v="Km 188-RM" u="1"/>
        <s v="Km 268-RM" u="1"/>
        <s v="Km 256-RM" u="1"/>
        <s v="Km 348-RM" u="1"/>
        <s v="Km 152-RM" u="1"/>
        <s v="Km 244-RM" u="1"/>
        <s v="Km 336-RM" u="1"/>
        <s v="Km 428-RM" u="1"/>
        <s v="Km 140-RM" u="1"/>
        <s v="Km 232-RM" u="1"/>
        <s v="Km 324-RM" u="1"/>
        <s v="Km 416-RM" u="1"/>
        <s v="Km 508-RM" u="1"/>
        <s v="Km 220-RM" u="1"/>
        <s v="Km 312-RM" u="1"/>
        <s v="Km 404-RM" u="1"/>
        <s v="Km 300-RM" u="1"/>
        <s v="La Gloria" u="1"/>
        <s v="Km 28-RM" u="1"/>
        <s v="Km 36-RM" u="1"/>
        <s v="Km 44-RM" u="1"/>
        <s v="Km 52-RM" u="1"/>
        <s v="Boya Puertro Bahia" u="1"/>
        <s v="Km 198-RM" u="1"/>
        <s v="Km 186-RM" u="1"/>
        <s v="Km 278-RM" u="1"/>
        <s v="Km 174-RM" u="1"/>
        <s v="Km 358-RM" u="1"/>
        <s v="Km 162-RM" u="1"/>
        <s v="Km 254-RM" u="1"/>
        <s v="Km 346-RM" u="1"/>
        <s v="Km 438-RM" u="1"/>
        <s v="Km 150-RM" u="1"/>
        <s v="Km 242-RM" u="1"/>
        <s v="Km 334-RM" u="1"/>
        <s v="Km 426-RM" u="1"/>
        <s v="Km 518-RM" u="1"/>
        <s v="Km 230-RM" u="1"/>
        <s v="Km 322-RM" u="1"/>
        <s v="Km 414-RM" u="1"/>
        <s v="Km 506-RM" u="1"/>
        <s v="Km 310-RM" u="1"/>
        <s v="Km 402-RM" u="1"/>
        <s v="Km 29-RM" u="1"/>
        <s v="Bahía Cartagena" u="1"/>
        <s v="Km 37-RM" u="1"/>
        <s v="Km 45-RM" u="1"/>
        <s v="Km 53-RM" u="1"/>
        <s v="Km 61-RM" u="1"/>
        <s v="Km 196-RM" u="1"/>
        <s v="Km 288-RM" u="1"/>
        <s v="Km 184-RM" u="1"/>
        <s v="Km 276-RM" u="1"/>
        <s v="Km 368-RM" u="1"/>
        <s v="Km 172-RM" u="1"/>
        <s v="Km 264-RM" u="1"/>
        <s v="Km 356-RM" u="1"/>
        <s v="Km 448-RM" u="1"/>
        <s v="Km 160-RM" u="1"/>
        <s v="Km 252-RM" u="1"/>
        <s v="Km 344-RM" u="1"/>
        <s v="Km 436-RM" u="1"/>
        <s v="Km 528-RM" u="1"/>
        <s v="Boya Ecopetrol Ctg" u="1"/>
        <s v="Km 240-RM" u="1"/>
        <s v="Km 332-RM" u="1"/>
        <s v="Km 424-RM" u="1"/>
        <s v="Km 516-RM" u="1"/>
        <s v="Km 608-RM" u="1"/>
        <s v="Km 320-RM" u="1"/>
        <s v="Km 412-RM" u="1"/>
        <s v="Km 504-RM" u="1"/>
        <s v="Km 400-RM" u="1"/>
        <s v="Boya  Opon" u="1"/>
        <s v="Km 432 Rm" u="1"/>
        <s v="Km 38-RM" u="1"/>
        <s v="Km 46-RM" u="1"/>
        <s v="Km 54-RM" u="1"/>
        <s v="Km 62-RM" u="1"/>
        <s v="Ecopeja" u="1"/>
        <s v="Km 70-RM" u="1"/>
        <s v="Isla Rondon " u="1"/>
        <s v="Km 194-RM" u="1"/>
        <s v="Km 286-RM" u="1"/>
        <s v="Km 378-RM" u="1"/>
        <s v="Km 182-RM" u="1"/>
        <s v="Km 274-RM" u="1"/>
        <s v="Km 366-RM" u="1"/>
        <s v="Km 458-RM" u="1"/>
        <s v="Km 170-RM" u="1"/>
        <s v="Km 262-RM" u="1"/>
        <s v="Km 354-RM" u="1"/>
        <s v="Km 446-RM" u="1"/>
        <s v="Km 538-RM" u="1"/>
        <s v="Km 250-RM" u="1"/>
        <s v="Km 342-RM" u="1"/>
        <s v="Km 434-RM" u="1"/>
        <s v="Km 526-RM" u="1"/>
        <s v="Km 618-RM" u="1"/>
        <s v="Km 330-RM" u="1"/>
        <s v="Km 422-RM" u="1"/>
        <s v="Km 514-RM" u="1"/>
        <s v="Km 606-RM" u="1"/>
        <s v="Conetecar" u="1"/>
        <s v="Km 410-RM" u="1"/>
        <s v="Km 502-RM" u="1"/>
        <s v="Km 39-RM" u="1"/>
        <s v="Km 55-RM" u="1"/>
        <s v="Km 71-RM" u="1"/>
        <s v="Km 388-RM" u="1"/>
        <s v="Km 192-RM" u="1"/>
        <s v="Km 284-RM" u="1"/>
        <s v="Km 376-RM" u="1"/>
        <s v="Km 468-RM" u="1"/>
        <s v="Km 180-RM" u="1"/>
        <s v="Km 272-RM" u="1"/>
        <s v="Km 364-RM" u="1"/>
        <s v="Km 456-RM" u="1"/>
        <s v="Km 548-RM" u="1"/>
        <s v="Km 260-RM" u="1"/>
        <s v="Km 352-RM" u="1"/>
        <s v="Km 444-RM" u="1"/>
        <s v="Km 536-RM" u="1"/>
        <s v="Km 340-RM" u="1"/>
        <s v="Km 524-RM" u="1"/>
        <s v="Km 616-RM" u="1"/>
        <s v="Km 420-RM" u="1"/>
        <s v="Km 512-RM" u="1"/>
        <s v="Km 604-RM" u="1"/>
        <s v="Km 500-RM" u="1"/>
        <s v="Boya De Puerto Bahia " u="1"/>
        <s v="Km 48-RM" u="1"/>
        <s v="Km 64-RM" u="1"/>
        <s v="Km 72-RM" u="1"/>
        <s v="Km 80-RM" u="1"/>
        <s v="Ctg" u="1"/>
        <s v="Km 398-RM" u="1"/>
        <s v="Km 294-RM" u="1"/>
        <s v="Km 386-RM" u="1"/>
        <s v="Km 478-RM" u="1"/>
        <s v="Km 190-RM" u="1"/>
        <s v="Km 282-RM" u="1"/>
        <s v="Km 374-RM" u="1"/>
        <s v="Km 466-RM" u="1"/>
        <s v="Km 558-RM" u="1"/>
        <s v="Km 270-RM" u="1"/>
        <s v="Km 362-RM" u="1"/>
        <s v="Km 454-RM" u="1"/>
        <s v="Km 546-RM" u="1"/>
        <s v="Km 350-RM" u="1"/>
        <s v="Km 442-RM" u="1"/>
        <s v="Km 534-RM" u="1"/>
        <s v="Km 430-RM" u="1"/>
        <s v="Km 522-RM" u="1"/>
        <s v="Km 614-RM" u="1"/>
        <s v="Km 510-RM" u="1"/>
        <s v="Muelle Pb" u="1"/>
        <s v="Km 73-RM" u="1"/>
        <s v="Km 81-RM" u="1"/>
        <s v="Km 396-RM" u="1"/>
        <s v="Km 488-RM" u="1"/>
        <s v="Km 292-RM" u="1"/>
        <s v="Km 384-RM" u="1"/>
        <s v="Km 476-RM" u="1"/>
        <s v="Km 568-RM" u="1"/>
        <s v="Km 280-RM" u="1"/>
        <s v="Km 372-RM" u="1"/>
        <s v="Km 464-RM" u="1"/>
        <s v="Km 556-RM" u="1"/>
        <s v="Km 360-RM" u="1"/>
        <s v="Km 452-RM" u="1"/>
        <s v="Km 544-RM" u="1"/>
        <s v="Km 440-RM" u="1"/>
        <s v="Km 532-RM" u="1"/>
        <s v="Km 624-RM" u="1"/>
        <s v="Km 520-RM" u="1"/>
        <s v="Km 612-RM" u="1"/>
        <s v="Km 600-RM" u="1"/>
        <s v="Boya Pto Bahia" u="1"/>
        <s v="Eco-Itbb" u="1"/>
        <s v="Km 58-RM" u="1"/>
        <s v="Km 66-RM" u="1"/>
        <s v="Km 74-RM" u="1"/>
        <s v="Km 90-RM" u="1"/>
        <s v="Km 1-RM" u="1"/>
        <s v="Km 498-RM" u="1"/>
        <s v="Km 394-RM" u="1"/>
        <s v="Km 486-RM" u="1"/>
        <s v="Km 578-RM" u="1"/>
        <s v="Km 290-RM" u="1"/>
        <s v="Km 382-RM" u="1"/>
        <s v="Km 474-RM" u="1"/>
        <s v="Km 566-RM" u="1"/>
        <s v="Km 370-RM" u="1"/>
        <s v="Km 554-RM" u="1"/>
        <s v="Km 450-RM" u="1"/>
        <s v="Km 542-RM" u="1"/>
        <s v="Km 530-RM" u="1"/>
        <s v="Km 622-RM" u="1"/>
        <s v="Km 610-RM" u="1"/>
        <s v="Ecopetrol Ctg" u="1"/>
        <s v="Km 59-RM" u="1"/>
        <s v="Km 75-RM" u="1"/>
        <s v="Km 83-RM" u="1"/>
        <s v="Km 91-RM" u="1"/>
        <s v="Km 496-RM" u="1"/>
        <s v="Km 588-RM" u="1"/>
        <s v="Km 392-RM" u="1"/>
        <s v="Km 484-RM" u="1"/>
        <s v="Km 576-RM" u="1"/>
        <s v="Km 380-RM" u="1"/>
        <s v="Km 472-RM" u="1"/>
        <s v="Km 564-RM" u="1"/>
        <s v="Km 460-RM" u="1"/>
        <s v="Km 540-RM" u="1"/>
        <s v="Km 620-RM" u="1"/>
        <s v="Zona Fleet Pimsa" u="1"/>
        <s v="Km 68-RM" u="1"/>
        <s v="Km 84-RM" u="1"/>
        <s v="Km 92-RM" u="1"/>
        <s v="Km 109-CD" u="1"/>
        <s v="Compas Baq" u="1"/>
        <s v="Km 2-RM" u="1"/>
        <s v="Km 598-RM" u="1"/>
        <s v="Km 494-RM" u="1"/>
        <s v="Km 586-RM" u="1"/>
        <s v="Km 390-RM" u="1"/>
        <s v="Km 482-RM" u="1"/>
        <s v="Km 574-RM" u="1"/>
        <s v="Km 470-RM" u="1"/>
        <s v="Km 562-RM" u="1"/>
        <s v="Km 550-RM" u="1"/>
        <s v="Muelle Pto Sagoc" u="1"/>
        <s v="Km 69-RM" u="1"/>
        <s v="Km 77-RM" u="1"/>
        <s v="Km 85-RM" u="1"/>
        <s v="Km 93-RM" u="1"/>
        <s v="Km 107-CD" u="1"/>
        <s v="Km 596-RM" u="1"/>
        <s v="Km 492-RM" u="1"/>
        <s v="Km 584-RM" u="1"/>
        <s v="Zona De Fondeo" u="1"/>
        <s v="Km 480-RM" u="1"/>
        <s v="Km 572-RM" u="1"/>
        <s v="Km 560-RM" u="1"/>
        <s v="Atlantic Coal" u="1"/>
        <s v="Compas-Baq" u="1"/>
        <s v="Km 78-RM" u="1"/>
        <s v="Boya Depuerto Bahia" u="1"/>
        <s v="Km 86-RM" u="1"/>
        <s v="Km 94-RM" u="1"/>
        <s v="Km 209-CD" u="1"/>
        <s v="Km 105-CD" u="1"/>
        <s v="Km 3-RM" u="1"/>
        <s v="Km 594-RM" u="1"/>
        <s v="Km 490-RM" u="1"/>
        <s v="Km 582-RM" u="1"/>
        <s v="Km 570-RM" u="1"/>
        <s v="Km 79-RM" u="1"/>
        <s v="Km 87-RM" u="1"/>
        <s v="Km 95-RM" u="1"/>
        <s v="Km 127-CD" u="1"/>
        <s v="Km 115-CD" u="1"/>
        <s v="Km 103-CD" u="1"/>
        <s v="Km 592-RM" u="1"/>
        <s v="Km 580-RM" u="1"/>
        <s v="Puerto Capulco" u="1"/>
        <s v="Km 88-RM" u="1"/>
        <s v="Km 96-RM" u="1"/>
        <s v="Km 229-CD" u="1"/>
        <s v="Km 217-CD" u="1"/>
        <s v="Km 113-CD" u="1"/>
        <s v="Km 4-RM" u="1"/>
        <s v="Km 101-CD" u="1"/>
        <s v="Km 590-RM" u="1"/>
        <s v="Spd" u="1"/>
        <s v="Compas" u="1"/>
        <s v="Port Magd" u="1"/>
        <s v="Km 89-RM" u="1"/>
        <s v="Km 97-RM" u="1"/>
        <s v="Ecoeja" u="1"/>
        <s v="Ecpeja" u="1"/>
        <s v="Bpya Puerto Bahia" u="1"/>
        <s v="Km 123-CD" u="1"/>
        <s v="Km 111-CD" u="1"/>
        <s v="Spp" u="1"/>
        <s v="Spd " u="1"/>
        <s v="Km 98-RM" u="1"/>
        <s v="Km 317-CD" u="1"/>
        <s v="Km 121-CD" u="1"/>
        <s v="Km 5-RM" u="1"/>
        <s v="San Pedrito" u="1"/>
        <s v="Km 99-RM" u="1"/>
        <s v="Km 179-CD" u="1"/>
        <s v="Km 247-CD" u="1"/>
        <s v="Km 10-CD" u="1"/>
        <s v="Ecoctg" u="1"/>
        <s v="Ecpctg" u="1"/>
        <s v="Ecopetrol Beja" u="1"/>
        <s v="Km 11-CD" u="1"/>
        <s v="Km 163-CD" u="1"/>
        <s v="Puerto Bahia" u="1"/>
        <s v="Km 12-CD" u="1"/>
        <s v="Km 20-CD" u="1"/>
        <s v="Carga Seca Pb" u="1"/>
        <s v="Boya Upon" u="1"/>
        <s v="Zona Alterna Compas" u="1"/>
        <s v="Km 173-CD" u="1"/>
        <s v="Ecojea" u="1"/>
        <s v="Km 7-RM" u="1"/>
        <s v="Km 13-CD" u="1"/>
        <s v="Km 21-CD" u="1"/>
        <s v="Km 14-CD" u="1"/>
        <s v="Km 22-CD" u="1"/>
        <s v="Km 30-CD" u="1"/>
        <s v="Sprb" u="1"/>
        <s v="Petromag" u="1"/>
        <s v="Km 15-CD" u="1"/>
        <s v="Km 8-RM" u="1"/>
        <s v="Km 23-CD" u="1"/>
        <s v="Km 31-CD" u="1"/>
      </sharedItems>
    </cacheField>
    <cacheField name="Ubicación Target Plan Navegación" numFmtId="0">
      <sharedItems containsBlank="1" count="724">
        <s v=""/>
        <s v="Km 91-CD"/>
        <s v="Km 501-RM"/>
        <s v="Km 592-RM"/>
        <m u="1"/>
        <s v="Km 16-CD" u="1"/>
        <s v="Km 24-CD" u="1"/>
        <s v="Km 32-CD" u="1"/>
        <s v="Km 40-CD" u="1"/>
        <e v="#N/A" u="1"/>
        <s v="Km 17-CD" u="1"/>
        <s v="Km 25-CD" u="1"/>
        <s v="Km 33-CD" u="1"/>
        <s v="Pte Plan " u="1"/>
        <s v="Km 41-CD" u="1"/>
        <s v="Km 109-RM" u="1"/>
        <s v="Km 18-CD" u="1"/>
        <s v="Km 26-CD" u="1"/>
        <s v="Km 34-CD" u="1"/>
        <s v="Ptd Plan" u="1"/>
        <s v="Km 42-CD" u="1"/>
        <s v="Pte Plan" u="1"/>
        <s v="Km 50-CD" u="1"/>
        <s v="Km 119-RM" u="1"/>
        <s v="Km 19-CD" u="1"/>
        <s v="Km 27-CD" u="1"/>
        <s v="Km 35-CD" u="1"/>
        <s v="Km 43-CD" u="1"/>
        <s v="Km 51-CD" u="1"/>
        <s v="Km 129-RM" u="1"/>
        <s v="Km 117-RM" u="1"/>
        <s v="Km 209-RM" u="1"/>
        <s v="Km 105-RM" u="1"/>
        <s v="Km 28-CD" u="1"/>
        <s v="Km 36-CD" u="1"/>
        <s v="Km 44-CD" u="1"/>
        <s v="Km 52-CD" u="1"/>
        <s v="Km 60-CD" u="1"/>
        <s v="Km 139-RM" u="1"/>
        <s v="Km 127-RM" u="1"/>
        <s v="Km 219-RM" u="1"/>
        <s v="Km 115-RM" u="1"/>
        <s v="Km 207-RM" u="1"/>
        <s v="Km 103-RM" u="1"/>
        <s v="Km 29-CD" u="1"/>
        <s v="Km 37-CD" u="1"/>
        <s v="Km 45-CD" u="1"/>
        <s v="Km 53-CD" u="1"/>
        <s v="Km 61-CD" u="1"/>
        <s v="Km 149-RM" u="1"/>
        <s v="Km 137-RM" u="1"/>
        <s v="Km 229-RM" u="1"/>
        <s v="Km 125-RM" u="1"/>
        <s v="Km 217-RM" u="1"/>
        <s v="Km 309-RM" u="1"/>
        <s v="Km 113-RM" u="1"/>
        <s v="Km 205-RM" u="1"/>
        <s v="Km 101-RM" u="1"/>
        <s v="Km 38-CD" u="1"/>
        <s v="Km 46-CD" u="1"/>
        <s v="Km 54-CD" u="1"/>
        <s v="Km 62-CD" u="1"/>
        <s v="Km 70-CD" u="1"/>
        <s v="Km 159-RM" u="1"/>
        <s v="PDE Plan" u="1"/>
        <s v="Km 147-RM" u="1"/>
        <s v="Km 239-RM" u="1"/>
        <s v="Km 135-RM" u="1"/>
        <s v="Km 227-RM" u="1"/>
        <s v="Km 319-RM" u="1"/>
        <s v="Km 123-RM" u="1"/>
        <s v="Km 215-RM" u="1"/>
        <s v="Km 307-RM" u="1"/>
        <s v="Km 111-RM" u="1"/>
        <s v="Km 39-CD" u="1"/>
        <s v="Km 47-CD" u="1"/>
        <s v="Km 55-CD" u="1"/>
        <s v="Km 63-CD" u="1"/>
        <s v="Pdte Plan" u="1"/>
        <s v="Km 71-CD" u="1"/>
        <s v="Pdt Plan" u="1"/>
        <s v="Km 169-RM" u="1"/>
        <s v="Km 157-RM" u="1"/>
        <s v="Km 249-RM" u="1"/>
        <s v="Km 145-RM" u="1"/>
        <s v="Km 237-RM" u="1"/>
        <s v="Km 329-RM" u="1"/>
        <s v="Km 133-RM" u="1"/>
        <s v="Km 225-RM" u="1"/>
        <s v="Km 317-RM" u="1"/>
        <s v="Km 409-RM" u="1"/>
        <s v="Km 121-RM" u="1"/>
        <s v="Km 213-RM" u="1"/>
        <s v="Km 305-RM" u="1"/>
        <s v="Km 201-RM" u="1"/>
        <s v="Km 48-CD" u="1"/>
        <s v="Km 56-CD" u="1"/>
        <s v="Km 64-CD" u="1"/>
        <s v="Km 72-CD" u="1"/>
        <s v="Km 179-RM" u="1"/>
        <s v="Km 80-CD" u="1"/>
        <s v="Km 167-RM" u="1"/>
        <s v="Km 259-RM" u="1"/>
        <s v="Km 155-RM" u="1"/>
        <s v="Km 247-RM" u="1"/>
        <s v="Km 339-RM" u="1"/>
        <s v="Km 143-RM" u="1"/>
        <s v="Km 235-RM" u="1"/>
        <s v="Km 327-RM" u="1"/>
        <s v="Km 419-RM" u="1"/>
        <s v="Km 131-RM" u="1"/>
        <s v="Km 223-RM" u="1"/>
        <s v="Km 315-RM" u="1"/>
        <s v="Km 407-RM" u="1"/>
        <s v="Km 211-RM" u="1"/>
        <s v="Km 303-RM" u="1"/>
        <s v="Km 49-CD" u="1"/>
        <s v="Km 57-CD" u="1"/>
        <s v="Km 65-CD" u="1"/>
        <s v="Km 73-CD" u="1"/>
        <s v="Km 189-RM" u="1"/>
        <s v="Km 177-RM" u="1"/>
        <s v="Km 269-RM" u="1"/>
        <s v="Km 165-RM" u="1"/>
        <s v="Km 257-RM" u="1"/>
        <s v="Km 349-RM" u="1"/>
        <s v="Km 153-RM" u="1"/>
        <s v="Km 245-RM" u="1"/>
        <s v="Km 337-RM" u="1"/>
        <s v="Km 429-RM" u="1"/>
        <s v="Km 141-RM" u="1"/>
        <s v="Km 233-RM" u="1"/>
        <s v="Km 325-RM" u="1"/>
        <s v="Km 417-RM" u="1"/>
        <s v="Km 509-RM" u="1"/>
        <s v="Km 221-RM" u="1"/>
        <s v="Km 313-RM" u="1"/>
        <s v="Km 405-RM" u="1"/>
        <s v="Km 301-RM" u="1"/>
        <s v="Km 58-CD" u="1"/>
        <s v="Km 66-CD" u="1"/>
        <s v="Km 74-CD" u="1"/>
        <s v="Km 199-RM" u="1"/>
        <s v="Km 82-CD" u="1"/>
        <s v="Km 187-RM" u="1"/>
        <s v="Km 279-RM" u="1"/>
        <s v="Km 90-CD" u="1"/>
        <s v="Km 175-RM" u="1"/>
        <s v="Km 267-RM" u="1"/>
        <s v="Km 359-RM" u="1"/>
        <s v="Km 163-RM" u="1"/>
        <s v="Km 255-RM" u="1"/>
        <s v="Km 347-RM" u="1"/>
        <s v="Km 439-RM" u="1"/>
        <s v="Km 151-RM" u="1"/>
        <s v="Km 243-RM" u="1"/>
        <s v="Km 335-RM" u="1"/>
        <s v="Km 427-RM" u="1"/>
        <s v="Km 519-RM" u="1"/>
        <s v="Km 231-RM" u="1"/>
        <s v="Km 323-RM" u="1"/>
        <s v="Km 415-RM" u="1"/>
        <s v="Km 507-RM" u="1"/>
        <s v="Km 311-RM" u="1"/>
        <s v="Km 403-RM" u="1"/>
        <s v="Km 503 RM" u="1"/>
        <s v="Km 59-CD" u="1"/>
        <s v="Km 67-CD" u="1"/>
        <s v="Km 75-CD" u="1"/>
        <s v="Km 83-CD" u="1"/>
        <s v="Km 197-RM" u="1"/>
        <s v="Km 289-RM" u="1"/>
        <s v="Km 185-RM" u="1"/>
        <s v="Km 277-RM" u="1"/>
        <s v="Km 369-RM" u="1"/>
        <s v="Km 173-RM" u="1"/>
        <s v="Km 265-RM" u="1"/>
        <s v="Km 357-RM" u="1"/>
        <s v="Km 449-RM" u="1"/>
        <s v="Km 161-RM" u="1"/>
        <s v="Km 253-RM" u="1"/>
        <s v="Km 345-RM" u="1"/>
        <s v="Km 437-RM" u="1"/>
        <s v="Km 529-RM" u="1"/>
        <s v="Km 241-RM" u="1"/>
        <s v="Km 333-RM" u="1"/>
        <s v="Km 425-RM" u="1"/>
        <s v="Km 517-RM" u="1"/>
        <s v="Km 609-RM" u="1"/>
        <s v="Km 321-RM" u="1"/>
        <s v="Km 413-RM" u="1"/>
        <s v="Km 505-RM" u="1"/>
        <s v="Km 401-RM" u="1"/>
        <s v="Km 68-CD" u="1"/>
        <s v="Km 76-CD" u="1"/>
        <s v="Km 84-CD" u="1"/>
        <s v="Km 299-RM" u="1"/>
        <s v="Km 92-CD" u="1"/>
        <s v="Km 195-RM" u="1"/>
        <s v="Km 287-RM" u="1"/>
        <s v="Km 379-RM" u="1"/>
        <s v="Km 183-RM" u="1"/>
        <s v="Km 275-RM" u="1"/>
        <s v="Km 367-RM" u="1"/>
        <s v="Km 459-RM" u="1"/>
        <s v="Km 171-RM" u="1"/>
        <s v="Km 263-RM" u="1"/>
        <s v="Km 355-RM" u="1"/>
        <s v="Km 447-RM" u="1"/>
        <s v="Km 539-RM" u="1"/>
        <s v="Km 343-RM" u="1"/>
        <s v="Km 435-RM" u="1"/>
        <s v="Km 527-RM" u="1"/>
        <s v="Km 619-RM" u="1"/>
        <s v="Km 331-RM" u="1"/>
        <s v="Km 423-RM" u="1"/>
        <s v="Km 515-RM" u="1"/>
        <s v="Km 607-RM" u="1"/>
        <s v="Km 411-RM" u="1"/>
        <s v="Km 503-RM" u="1"/>
        <s v="Km 69-CD" u="1"/>
        <s v="Km 77-CD" u="1"/>
        <s v="Km 85-CD" u="1"/>
        <s v="Km 93-CD" u="1"/>
        <s v="Km 297-RM" u="1"/>
        <s v="Km 389-RM" u="1"/>
        <s v="Km 193-RM" u="1"/>
        <s v="Km 285-RM" u="1"/>
        <s v="Km 377-RM" u="1"/>
        <s v="Km 469-RM" u="1"/>
        <s v="Km 181-RM" u="1"/>
        <s v="Km 273-RM" u="1"/>
        <s v="Km 365-RM" u="1"/>
        <s v="Km 457-RM" u="1"/>
        <s v="Km 549-RM" u="1"/>
        <s v="N/A" u="1"/>
        <s v="Km 261-RM" u="1"/>
        <s v="Km 353-RM" u="1"/>
        <s v="Km 445-RM" u="1"/>
        <s v="Km 537-RM" u="1"/>
        <s v="Km 341-RM" u="1"/>
        <s v="Km 433-RM" u="1"/>
        <s v="Km 525-RM" u="1"/>
        <s v="Km 617-RM" u="1"/>
        <s v="Km 421-RM" u="1"/>
        <s v="Km 513-RM" u="1"/>
        <s v="Km 605-RM" u="1"/>
        <s v="Km 78-CD" u="1"/>
        <s v="Km 86-CD" u="1"/>
        <s v="Km 94-CD" u="1"/>
        <s v="Km 399-RM" u="1"/>
        <s v="Km 295-RM" u="1"/>
        <s v="Km 387-RM" u="1"/>
        <s v="Km 479-RM" u="1"/>
        <s v="Km 191-RM" u="1"/>
        <s v="Km 283-RM" u="1"/>
        <s v="Km 375-RM" u="1"/>
        <s v="Km 467-RM" u="1"/>
        <s v="Km 559-RM" u="1"/>
        <s v="Km 271-RM" u="1"/>
        <s v="Km 363-RM" u="1"/>
        <s v="Km 455-RM" u="1"/>
        <s v="Km 547-RM" u="1"/>
        <s v="Km 351-RM" u="1"/>
        <s v="Km 535-RM" u="1"/>
        <s v="Km 431-RM" u="1"/>
        <s v="Km 523-RM" u="1"/>
        <s v="Km 615-RM" u="1"/>
        <s v="Km 511-RM" u="1"/>
        <s v="Km 603-RM" u="1"/>
        <s v=" " u="1"/>
        <s v="Km 79-CD" u="1"/>
        <s v="Km 87-CD" u="1"/>
        <s v="Km 95-CD" u="1"/>
        <s v="Km 397-RM" u="1"/>
        <s v="Km 489-RM" u="1"/>
        <s v="Km 293-RM" u="1"/>
        <s v="Km 385-RM" u="1"/>
        <s v="Km 477-RM" u="1"/>
        <s v="Km 569-RM" u="1"/>
        <s v="Km 281-RM" u="1"/>
        <s v="Km 373-RM" u="1"/>
        <s v="Km 465-RM" u="1"/>
        <s v="Km 557-RM" u="1"/>
        <s v="Km 361-RM" u="1"/>
        <s v="Km 453-RM" u="1"/>
        <s v="Km 545-RM" u="1"/>
        <s v="Km 441-RM" u="1"/>
        <s v="Km 533-RM" u="1"/>
        <s v="Km 625-RM" u="1"/>
        <s v="Km 521-RM" u="1"/>
        <s v="Km 613-RM" u="1"/>
        <s v="Km 601-RM" u="1"/>
        <s v="Km 88-CD" u="1"/>
        <s v="Km 96-CD" u="1"/>
        <s v="Km 499-RM" u="1"/>
        <s v="Km 395-RM" u="1"/>
        <s v="Km 487-RM" u="1"/>
        <s v="Km 579-RM" u="1"/>
        <s v="Km 291-RM" u="1"/>
        <s v="Km 383-RM" u="1"/>
        <s v="Km 475-RM" u="1"/>
        <s v="Km 567-RM" u="1"/>
        <s v="Km 371-RM" u="1"/>
        <s v="Km 463-RM" u="1"/>
        <s v="Km 555-RM" u="1"/>
        <s v="Km 451-RM" u="1"/>
        <s v="Km 543-RM" u="1"/>
        <s v="Km 531-RM" u="1"/>
        <s v="Km 623-RM" u="1"/>
        <s v="Np" u="1"/>
        <s v="Km 611-RM" u="1"/>
        <s v="Km 89-CD" u="1"/>
        <s v="Km 97-CD" u="1"/>
        <s v="Km 497-RM" u="1"/>
        <s v="Km 589-RM" u="1"/>
        <s v="Km 393-RM" u="1"/>
        <s v="Km 485-RM" u="1"/>
        <s v="Km 577-RM" u="1"/>
        <s v="Km 381-RM" u="1"/>
        <s v="Km 473-RM" u="1"/>
        <s v="Km 565-RM" u="1"/>
        <s v="Km 461-RM" u="1"/>
        <s v="Km 553-RM" u="1"/>
        <s v="Km 541-RM" u="1"/>
        <s v="Km 621-RM" u="1"/>
        <s v="Km 98-CD" u="1"/>
        <s v="Km 599-RM" u="1"/>
        <s v="Km 495-RM" u="1"/>
        <s v="Km 587-RM" u="1"/>
        <s v="Km 61 Rm" u="1"/>
        <s v="Km 391-RM" u="1"/>
        <s v="Km 483-RM" u="1"/>
        <s v="Km 575-RM" u="1"/>
        <s v="Km 471-RM" u="1"/>
        <s v="Km 563-RM" u="1"/>
        <s v="Km 551-RM" u="1"/>
        <s v="Km 99-CD" u="1"/>
        <s v="Km 108-CD" u="1"/>
        <s v="Km 597-RM" u="1"/>
        <s v="Km 493-RM" u="1"/>
        <s v="Km 585-RM" u="1"/>
        <s v="Km 481-RM" u="1"/>
        <s v="Km 573-RM" u="1"/>
        <s v="Km 561-RM" u="1"/>
        <s v="Km 118-CD" u="1"/>
        <s v="Km 106-CD" u="1"/>
        <s v="Km 595-RM" u="1"/>
        <s v="Km 491-RM" u="1"/>
        <s v="Km 583-RM" u="1"/>
        <s v="Km 571-RM" u="1"/>
        <s v="Km 116-CD" u="1"/>
        <s v="Km 104-CD" u="1"/>
        <s v="Km 0-CD" u="1"/>
        <s v="Km 593-RM" u="1"/>
        <s v="Km 581-RM" u="1"/>
        <s v="Pdte P´Lan" u="1"/>
        <s v="Km 114-CD" u="1"/>
        <s v="Km 102-CD" u="1"/>
        <s v="Km 591-RM" u="1"/>
        <s v="Km 112-CD" u="1"/>
        <s v="Km 100-CD" u="1"/>
        <s v="Km 1-CD" u="1"/>
        <s v="Km 110-CD" u="1"/>
        <s v="Pdt. Plan" u="1"/>
        <s v="64 Cd" u="1"/>
        <s v="Km 2-CD" u="1"/>
        <s v="Km 140-CD" u="1"/>
        <s v="Km 3-CD" u="1"/>
        <s v="110 Cd" u="1"/>
        <s v="Km 184-CD" u="1"/>
        <s v="Km 4-CD" u="1"/>
        <s v="Km 194-CD" u="1"/>
        <s v="Ptd.Plan" u="1"/>
        <s v="Pte.Plan" u="1"/>
        <s v="Km 5-CD" u="1"/>
        <s v="Km 10-RM" u="1"/>
        <s v="Km 11-RM" u="1"/>
        <s v="Km 6-CD" u="1"/>
        <s v="Km 108-RM" u="1"/>
        <s v="Km 20-RM" u="1"/>
        <s v="Km 118-RM" u="1"/>
        <s v="Km 106-RM" u="1"/>
        <s v="Km 21-RM" u="1"/>
        <s v="Km 7-CD" u="1"/>
        <s v="Pdt.Plan" u="1"/>
        <s v="Km 128-RM" u="1"/>
        <s v="Km 116-RM" u="1"/>
        <s v="Km 208-RM" u="1"/>
        <s v="Km 104-RM" u="1"/>
        <s v="Km 30-RM" u="1"/>
        <s v="Sp La Gloria" u="1"/>
        <s v="Km 138-RM" u="1"/>
        <s v="Km 126-RM" u="1"/>
        <s v="Km 218-RM" u="1"/>
        <s v="Km 114-RM" u="1"/>
        <s v="Km 206-RM" u="1"/>
        <s v="Km 102-RM" u="1"/>
        <s v="Km 90" u="1"/>
        <s v="Km 15-RM" u="1"/>
        <s v="Km 31-RM" u="1"/>
        <s v="Pdte Plan " u="1"/>
        <s v="Km 8-CD" u="1"/>
        <s v="Km 148-RM" u="1"/>
        <s v="Km 136-RM" u="1"/>
        <s v="Km 228-RM" u="1"/>
        <s v="Km 124-RM" u="1"/>
        <s v="Km 216-RM" u="1"/>
        <s v="Km 308-RM" u="1"/>
        <s v="Km 112-RM" u="1"/>
        <s v="Km 204-RM" u="1"/>
        <s v="Km 100-RM" u="1"/>
        <s v="Pdte" u="1"/>
        <s v="Km 24-RM" u="1"/>
        <s v="Km 40-RM" u="1"/>
        <s v="Km 158-RM" u="1"/>
        <s v="Km 146-RM" u="1"/>
        <s v="Km 134-RM" u="1"/>
        <s v="Km 226-RM" u="1"/>
        <s v="Km 318-RM" u="1"/>
        <s v="KM 40 CD" u="1"/>
        <s v="Km 214-RM" u="1"/>
        <s v="Km 306-RM" u="1"/>
        <s v="37 Cd" u="1"/>
        <s v="Km 110-RM" u="1"/>
        <s v="Km 202-RM" u="1"/>
        <s v="Km 25-RM" u="1"/>
        <s v="Km 9-CD" u="1"/>
        <s v="Km 168-RM" u="1"/>
        <s v="Km 156-RM" u="1"/>
        <s v="Km 248-RM" u="1"/>
        <s v="Km 144-RM" u="1"/>
        <s v="Km 236-RM" u="1"/>
        <s v="Km 328-RM" u="1"/>
        <s v="Km 132-RM" u="1"/>
        <s v="Km 316-RM" u="1"/>
        <s v="Km 408-RM" u="1"/>
        <s v="Km 120-RM" u="1"/>
        <s v="Km 304-RM" u="1"/>
        <s v="Km 200-RM" u="1"/>
        <s v="Km 50-RM" u="1"/>
        <s v="Km 178-RM" u="1"/>
        <s v="Km 166-RM" u="1"/>
        <s v="Km 258-RM" u="1"/>
        <s v="Km 154-RM" u="1"/>
        <s v="Km 246-RM" u="1"/>
        <s v="Km 338-RM" u="1"/>
        <s v="Km 142-RM" u="1"/>
        <s v="Km 234-RM" u="1"/>
        <s v="Km 326-RM" u="1"/>
        <s v="Km 418-RM" u="1"/>
        <s v="Km 130-RM" u="1"/>
        <s v="Km 222-RM" u="1"/>
        <s v="Km 314-RM" u="1"/>
        <s v="Km 406-RM" u="1"/>
        <s v="Km 210-RM" u="1"/>
        <s v="Km 302-RM" u="1"/>
        <s v="KM 426 RM" u="1"/>
        <s v="Km 106-CTG" u="1"/>
        <s v="Km 35-RM" u="1"/>
        <s v="Km 43-RM" u="1"/>
        <s v="Km 51-RM" u="1"/>
        <s v="Km 188-RM" u="1"/>
        <s v="Km 176-RM" u="1"/>
        <s v="Km 268-RM" u="1"/>
        <s v="Km 256-RM" u="1"/>
        <s v="Km 348-RM" u="1"/>
        <s v="Km 152-RM" u="1"/>
        <s v="Km 244-RM" u="1"/>
        <s v="Km 336-RM" u="1"/>
        <s v="Km 428-RM" u="1"/>
        <s v="Km 140-RM" u="1"/>
        <s v="Km 324-RM" u="1"/>
        <s v="Km 416-RM" u="1"/>
        <s v="Km 508-RM" u="1"/>
        <s v="Km 220-RM" u="1"/>
        <s v="Km 312-RM" u="1"/>
        <s v="Km 404-RM" u="1"/>
        <s v="Km 300-RM" u="1"/>
        <s v="Km 198-RM" u="1"/>
        <s v="Km 186-RM" u="1"/>
        <s v="Km 278-RM" u="1"/>
        <s v="Km 174-RM" u="1"/>
        <s v="Km 266-RM" u="1"/>
        <s v="Km 358-RM" u="1"/>
        <s v="Km 162-RM" u="1"/>
        <s v="Km 254-RM" u="1"/>
        <s v="Km 346-RM" u="1"/>
        <s v="Km 438-RM" u="1"/>
        <s v="Km 150-RM" u="1"/>
        <s v="Km 242-RM" u="1"/>
        <s v="Km 334-RM" u="1"/>
        <s v="Km 426-RM" u="1"/>
        <s v="Km 518-RM" u="1"/>
        <s v="Km 230-RM" u="1"/>
        <s v="Km 322-RM" u="1"/>
        <s v="Km 414-RM" u="1"/>
        <s v="Km 506-RM" u="1"/>
        <s v="Km 310-RM" u="1"/>
        <s v="Km 402-RM" u="1"/>
        <s v="KM 514 RM" u="1"/>
        <s v="Km 45-RM" u="1"/>
        <s v="Km 53-RM" u="1"/>
        <s v="Km 196-RM" u="1"/>
        <s v="Km 288-RM" u="1"/>
        <s v="Km 184-RM" u="1"/>
        <s v="Km 276-RM" u="1"/>
        <s v="Km 368-RM" u="1"/>
        <s v="Km 172-RM" u="1"/>
        <s v="Km 264-RM" u="1"/>
        <s v="Km 356-RM" u="1"/>
        <s v="Km 448-RM" u="1"/>
        <s v="Km 160-RM" u="1"/>
        <s v="Km 252-RM" u="1"/>
        <s v="Km 344-RM" u="1"/>
        <s v="Km 436-RM" u="1"/>
        <s v="Km 528-RM" u="1"/>
        <s v="Km 240-RM" u="1"/>
        <s v="Km 332-RM" u="1"/>
        <s v="Km 424-RM" u="1"/>
        <s v="Km 516-RM" u="1"/>
        <s v="Km 608-RM" u="1"/>
        <s v="Km 320-RM" u="1"/>
        <s v="Km 412-RM" u="1"/>
        <s v="Km 504-RM" u="1"/>
        <s v="Km 400-RM" u="1"/>
        <s v="Km 38-RM" u="1"/>
        <s v="Km 62-RM" u="1"/>
        <s v="Km 70-RM" u="1"/>
        <s v="Km 298-RM" u="1"/>
        <s v="Km 286-RM" u="1"/>
        <s v="Km 378-RM" u="1"/>
        <s v="Km 182-RM" u="1"/>
        <s v="Km 274-RM" u="1"/>
        <s v="Km 366-RM" u="1"/>
        <s v="Km 458-RM" u="1"/>
        <s v="Km 170-RM" u="1"/>
        <s v="Km 262-RM" u="1"/>
        <s v="Km 354-RM" u="1"/>
        <s v="Km 446-RM" u="1"/>
        <s v="Km 538-RM" u="1"/>
        <s v="Km 250-RM" u="1"/>
        <s v="Km 342-RM" u="1"/>
        <s v="Km 434-RM" u="1"/>
        <s v="Km 526-RM" u="1"/>
        <s v="Km 618-RM" u="1"/>
        <s v="Km 330-RM" u="1"/>
        <s v="Km 422-RM" u="1"/>
        <s v="Km 514-RM" u="1"/>
        <s v="Km 606-RM" u="1"/>
        <s v="Km 410-RM" u="1"/>
        <s v="Km 502-RM" u="1"/>
        <s v="Km 47-RM" u="1"/>
        <s v="Km 55-RM" u="1"/>
        <s v="Km 71-RM" u="1"/>
        <s v="Km 296-RM" u="1"/>
        <s v="Km 388-RM" u="1"/>
        <s v="Km 192-RM" u="1"/>
        <s v="Km 284-RM" u="1"/>
        <s v="Km 376-RM" u="1"/>
        <s v="Km 468-RM" u="1"/>
        <s v="Km 55 CD" u="1"/>
        <s v="Km 180-RM" u="1"/>
        <s v="Km 272-RM" u="1"/>
        <s v="Km 364-RM" u="1"/>
        <s v="Km 456-RM" u="1"/>
        <s v="Km 548-RM" u="1"/>
        <s v="Km 260-RM" u="1"/>
        <s v="Km 352-RM" u="1"/>
        <s v="Km 444-RM" u="1"/>
        <s v="Km 536-RM" u="1"/>
        <s v="Km 340-RM" u="1"/>
        <s v="Km 432-RM" u="1"/>
        <s v="Km 524-RM" u="1"/>
        <s v="Km 616-RM" u="1"/>
        <s v="Km 420-RM" u="1"/>
        <s v="Km 512-RM" u="1"/>
        <s v="Km 604-RM" u="1"/>
        <s v="Km 500-RM" u="1"/>
        <s v="Km 280 RM" u="1"/>
        <s v="Ptd.  Plan" u="1"/>
        <s v="Km 48-RM" u="1"/>
        <s v="Km 64-RM" u="1"/>
        <s v="Km 72-RM" u="1"/>
        <s v="Km 80-RM" u="1"/>
        <s v="Km 398-RM" u="1"/>
        <s v="Km 294-RM" u="1"/>
        <s v="Km 478-RM" u="1"/>
        <s v="Km 190-RM" u="1"/>
        <s v="Km 282-RM" u="1"/>
        <s v="Km 374-RM" u="1"/>
        <s v="Km 466-RM" u="1"/>
        <s v="Km 558-RM" u="1"/>
        <s v="Km 270-RM" u="1"/>
        <s v="Km 362-RM" u="1"/>
        <s v="Km 454-RM" u="1"/>
        <s v="Km 546-RM" u="1"/>
        <s v="Km 350-RM" u="1"/>
        <s v="Km 442-RM" u="1"/>
        <s v="Km 534-RM" u="1"/>
        <s v="Km 626-RM" u="1"/>
        <s v="Km 430-RM" u="1"/>
        <s v="Km 522-RM" u="1"/>
        <s v="Km 614-RM" u="1"/>
        <s v="Km 510-RM" u="1"/>
        <s v="Km 602-RM" u="1"/>
        <s v="Km 57-RM" u="1"/>
        <s v="Km 73-RM" u="1"/>
        <s v="Km 396-RM" u="1"/>
        <s v="Km 488-RM" u="1"/>
        <s v="Km 292-RM" u="1"/>
        <s v="Km 476-RM" u="1"/>
        <s v="Km 568-RM" u="1"/>
        <s v="Km 280-RM" u="1"/>
        <s v="Km 372-RM" u="1"/>
        <s v="Km 464-RM" u="1"/>
        <s v="Km 556-RM" u="1"/>
        <s v="Km 360-RM" u="1"/>
        <s v="Km 452-RM" u="1"/>
        <s v="Km 544-RM" u="1"/>
        <s v="Km 440-RM" u="1"/>
        <s v="Km 532-RM" u="1"/>
        <s v="Km 624-RM" u="1"/>
        <s v="Km 520-RM" u="1"/>
        <s v="Km 612-RM" u="1"/>
        <s v="Km 600-RM" u="1"/>
        <s v="Km 66-RM" u="1"/>
        <s v="Km 74-RM" u="1"/>
        <s v="Km 82-RM" u="1"/>
        <s v="Km 90-RM" u="1"/>
        <s v="Km 498-RM" u="1"/>
        <s v="Km 394-RM" u="1"/>
        <s v="Km 486-RM" u="1"/>
        <s v="Km 578-RM" u="1"/>
        <s v="Km 290-RM" u="1"/>
        <s v="Km 382-RM" u="1"/>
        <s v="Km 474-RM" u="1"/>
        <s v="Km 566-RM" u="1"/>
        <s v="Km 370-RM" u="1"/>
        <s v="Km 462-RM" u="1"/>
        <s v="Km 554-RM" u="1"/>
        <s v="Km 450-RM" u="1"/>
        <s v="Km 542-RM" u="1"/>
        <s v="Km 530-RM" u="1"/>
        <s v="Km 622-RM" u="1"/>
        <s v="Km 610-RM" u="1"/>
        <s v="Km 59-RM" u="1"/>
        <s v="Pdte Actualizacion Plan" u="1"/>
        <s v="Km 67-RM" u="1"/>
        <s v="Km 91-RM" u="1"/>
        <s v="Km 496-RM" u="1"/>
        <s v="Km 588-RM" u="1"/>
        <s v="Km 392-RM" u="1"/>
        <s v="Km 484-RM" u="1"/>
        <s v="Km 576-RM" u="1"/>
        <s v="Km 380-RM" u="1"/>
        <s v="Km 472-RM" u="1"/>
        <s v="Km 564-RM" u="1"/>
        <s v="Km 460-RM" u="1"/>
        <s v="Km 552-RM" u="1"/>
        <s v="Km 540-RM" u="1"/>
        <s v="Km 620-RM" u="1"/>
        <s v="Km 68-RM" u="1"/>
        <s v="Km 84-RM" u="1"/>
        <s v="Km 92-RM" u="1"/>
        <s v="Km 109-CD" u="1"/>
        <s v="Km 598-RM" u="1"/>
        <s v="Km 494-RM" u="1"/>
        <s v="Km 586-RM" u="1"/>
        <s v="Km 390-RM" u="1"/>
        <s v="Km 482-RM" u="1"/>
        <s v="Km 574-RM" u="1"/>
        <s v="Km 470-RM" u="1"/>
        <s v="Km 562-RM" u="1"/>
        <s v="Km 550-RM" u="1"/>
        <s v="Km 93-RM" u="1"/>
        <s v="Km 107-CD" u="1"/>
        <s v="Km 596-RM" u="1"/>
        <s v="Km 492-RM" u="1"/>
        <s v="Km 584-RM" u="1"/>
        <s v="Km 480-RM" u="1"/>
        <s v="Km 572-RM" u="1"/>
        <s v="Km 560-RM" u="1"/>
        <s v="Km 94-RM" u="1"/>
        <s v="Km 129-CD" u="1"/>
        <s v="Km 105-CD" u="1"/>
        <s v="Km 594-RM" u="1"/>
        <s v="Km 490-RM" u="1"/>
        <s v="Km 582-RM" u="1"/>
        <s v="Km 570-RM" u="1"/>
        <s v="Km 79-RM" u="1"/>
        <s v="Km 87-RM" u="1"/>
        <s v="Km 95-RM" u="1"/>
        <s v="Km 115-CD" u="1"/>
        <s v="Km 103-CD" u="1"/>
        <s v="Km 580-RM" u="1"/>
        <s v="Km 88-RM" u="1"/>
        <s v="Km 96-RM" u="1"/>
        <s v="Km 149-CD" u="1"/>
        <s v="Km 113-CD" u="1"/>
        <s v="Km 4-RM" u="1"/>
        <s v="Km 590-RM" u="1"/>
        <s v="Itbb" u="1"/>
        <s v="Km 97-RM" u="1"/>
        <s v="Km 111-CD" u="1"/>
        <s v="Km 98-RM" u="1"/>
        <s v="Km 145-CD" u="1"/>
        <s v="Km 133-CD" u="1"/>
        <s v="Km 5-RM" u="1"/>
        <s v="Km 99-RM" u="1"/>
        <s v="Km 10-CD" u="1"/>
        <s v="Km 11-CD" u="1"/>
        <s v="Km 163-CD" u="1"/>
        <s v="Km 12-CD" u="1"/>
        <s v="Km 20-CD" u="1"/>
        <s v="Km 173-CD" u="1"/>
        <s v="Km 13-CD" u="1"/>
        <s v="Km 21-CD" u="1"/>
        <s v="Km 171-CD" u="1"/>
        <s v="Km 14-CD" u="1"/>
        <s v="Km 22-CD" u="1"/>
        <s v="Km 30-CD" u="1"/>
        <s v="Km 15-CD" u="1"/>
        <s v="Km 31-CD" u="1"/>
      </sharedItems>
    </cacheField>
    <cacheField name="Km destino" numFmtId="0">
      <sharedItems containsSemiMixedTypes="0" containsString="0" containsNumber="1" containsInteger="1" minValue="0" maxValue="655" count="642">
        <n v="0"/>
        <n v="492"/>
        <n v="24"/>
        <n v="121"/>
        <n v="582" u="1"/>
        <n v="517" u="1"/>
        <n v="482" u="1"/>
        <n v="417" u="1"/>
        <n v="25" u="1"/>
        <n v="94" u="1"/>
        <n v="352" u="1"/>
        <n v="287" u="1"/>
        <n v="239" u="1"/>
        <n v="174" u="1"/>
        <n v="648" u="1"/>
        <n v="583" u="1"/>
        <n v="518" u="1"/>
        <n v="385" u="1"/>
        <n v="23" u="1"/>
        <n v="86" u="1"/>
        <n v="320" u="1"/>
        <n v="223" u="1"/>
        <n v="649" u="1"/>
        <n v="158" u="1"/>
        <n v="584" u="1"/>
        <n v="519" u="1"/>
        <n v="483" u="1"/>
        <n v="418" u="1"/>
        <n v="21" u="1"/>
        <n v="78" u="1"/>
        <n v="288" u="1"/>
        <n v="207" u="1"/>
        <n v="650" u="1"/>
        <n v="585" u="1"/>
        <n v="142" u="1"/>
        <n v="520" u="1"/>
        <n v="451" u="1"/>
        <n v="386" u="1"/>
        <n v="19" u="1"/>
        <n v="70" u="1"/>
        <n v="256" u="1"/>
        <n v="191" u="1"/>
        <n v="651" u="1"/>
        <n v="586" u="1"/>
        <n v="521" u="1"/>
        <n v="127" u="1"/>
        <n v="484" u="1"/>
        <n v="419" u="1"/>
        <n v="354" u="1"/>
        <n v="289" u="1"/>
        <n v="17" u="1"/>
        <n v="63" u="1"/>
        <n v="240" u="1"/>
        <n v="175" u="1"/>
        <n v="652" u="1"/>
        <n v="587" u="1"/>
        <n v="522" u="1"/>
        <n v="119" u="1"/>
        <n v="452" u="1"/>
        <n v="387" u="1"/>
        <n v="322" u="1"/>
        <n v="257" u="1"/>
        <n v="59" u="1"/>
        <n v="224" u="1"/>
        <n v="653" u="1"/>
        <n v="159" u="1"/>
        <n v="588" u="1"/>
        <n v="523" u="1"/>
        <n v="485" u="1"/>
        <n v="111" u="1"/>
        <n v="420" u="1"/>
        <n v="355" u="1"/>
        <n v="290" u="1"/>
        <n v="55" u="1"/>
        <n v="208" u="1"/>
        <n v="654" u="1"/>
        <n v="589" u="1"/>
        <n v="143" u="1"/>
        <n v="524" u="1"/>
        <n v="453" u="1"/>
        <n v="103" u="1"/>
        <n v="388" u="1"/>
        <n v="323" u="1"/>
        <n v="258" u="1"/>
        <n v="51" u="1"/>
        <n v="192" u="1"/>
        <n v="655" u="1"/>
        <n v="590" u="1"/>
        <n v="525" u="1"/>
        <n v="486" u="1"/>
        <n v="421" u="1"/>
        <n v="95" u="1"/>
        <n v="356" u="1"/>
        <n v="291" u="1"/>
        <n v="241" u="1"/>
        <n v="47" u="1"/>
        <n v="176" u="1"/>
        <n v="591" u="1"/>
        <n v="526" u="1"/>
        <n v="454" u="1"/>
        <n v="389" u="1"/>
        <n v="87" u="1"/>
        <n v="259" u="1"/>
        <n v="225" u="1"/>
        <n v="43" u="1"/>
        <n v="160" u="1"/>
        <n v="592" u="1"/>
        <n v="527" u="1"/>
        <n v="487" u="1"/>
        <n v="422" u="1"/>
        <n v="357" u="1"/>
        <n v="79" u="1"/>
        <n v="292" u="1"/>
        <n v="209" u="1"/>
        <n v="39" u="1"/>
        <n v="593" u="1"/>
        <n v="144" u="1"/>
        <n v="528" u="1"/>
        <n v="455" u="1"/>
        <n v="390" u="1"/>
        <n v="325" u="1"/>
        <n v="71" u="1"/>
        <n v="260" u="1"/>
        <n v="193" u="1"/>
        <n v="594" u="1"/>
        <n v="35" u="1"/>
        <n v="529" u="1"/>
        <n v="128" u="1"/>
        <n v="488" u="1"/>
        <n v="423" u="1"/>
        <n v="358" u="1"/>
        <n v="293" u="1"/>
        <n v="242" u="1"/>
        <n v="177" u="1"/>
        <n v="595" u="1"/>
        <n v="530" u="1"/>
        <n v="120" u="1"/>
        <n v="456" u="1"/>
        <n v="391" u="1"/>
        <n v="326" u="1"/>
        <n v="261" u="1"/>
        <n v="226" u="1"/>
        <n v="161" u="1"/>
        <n v="596" u="1"/>
        <n v="531" u="1"/>
        <n v="489" u="1"/>
        <n v="112" u="1"/>
        <n v="424" u="1"/>
        <n v="359" u="1"/>
        <n v="294" u="1"/>
        <n v="210" u="1"/>
        <n v="597" u="1"/>
        <n v="145" u="1"/>
        <n v="532" u="1"/>
        <n v="457" u="1"/>
        <n v="104" u="1"/>
        <n v="392" u="1"/>
        <n v="262" u="1"/>
        <n v="194" u="1"/>
        <n v="598" u="1"/>
        <n v="533" u="1"/>
        <n v="129" u="1"/>
        <n v="490" u="1"/>
        <n v="425" u="1"/>
        <n v="96" u="1"/>
        <n v="360" u="1"/>
        <n v="295" u="1"/>
        <n v="243" u="1"/>
        <n v="178" u="1"/>
        <n v="599" u="1"/>
        <n v="534" u="1"/>
        <n v="458" u="1"/>
        <n v="393" u="1"/>
        <n v="88" u="1"/>
        <n v="263" u="1"/>
        <n v="227" u="1"/>
        <n v="162" u="1"/>
        <n v="600" u="1"/>
        <n v="535" u="1"/>
        <n v="491" u="1"/>
        <n v="426" u="1"/>
        <n v="361" u="1"/>
        <n v="80" u="1"/>
        <n v="211" u="1"/>
        <n v="601" u="1"/>
        <n v="146" u="1"/>
        <n v="536" u="1"/>
        <n v="459" u="1"/>
        <n v="394" u="1"/>
        <n v="329" u="1"/>
        <n v="72" u="1"/>
        <n v="264" u="1"/>
        <n v="195" u="1"/>
        <n v="602" u="1"/>
        <n v="537" u="1"/>
        <n v="130" u="1"/>
        <n v="362" u="1"/>
        <n v="297" u="1"/>
        <n v="64" u="1"/>
        <n v="244" u="1"/>
        <n v="179" u="1"/>
        <n v="603" u="1"/>
        <n v="538" u="1"/>
        <n v="460" u="1"/>
        <n v="395" u="1"/>
        <n v="265" u="1"/>
        <n v="60" u="1"/>
        <n v="228" u="1"/>
        <n v="163" u="1"/>
        <n v="604" u="1"/>
        <n v="539" u="1"/>
        <n v="493" u="1"/>
        <n v="113" u="1"/>
        <n v="428" u="1"/>
        <n v="363" u="1"/>
        <n v="298" u="1"/>
        <n v="56" u="1"/>
        <n v="212" u="1"/>
        <n v="605" u="1"/>
        <n v="147" u="1"/>
        <n v="540" u="1"/>
        <n v="461" u="1"/>
        <n v="105" u="1"/>
        <n v="396" u="1"/>
        <n v="331" u="1"/>
        <n v="266" u="1"/>
        <n v="52" u="1"/>
        <n v="196" u="1"/>
        <n v="606" u="1"/>
        <n v="541" u="1"/>
        <n v="131" u="1"/>
        <n v="494" u="1"/>
        <n v="429" u="1"/>
        <n v="97" u="1"/>
        <n v="364" u="1"/>
        <n v="299" u="1"/>
        <n v="245" u="1"/>
        <n v="48" u="1"/>
        <n v="180" u="1"/>
        <n v="607" u="1"/>
        <n v="542" u="1"/>
        <n v="462" u="1"/>
        <n v="397" u="1"/>
        <n v="89" u="1"/>
        <n v="332" u="1"/>
        <n v="267" u="1"/>
        <n v="44" u="1"/>
        <n v="164" u="1"/>
        <n v="608" u="1"/>
        <n v="543" u="1"/>
        <n v="495" u="1"/>
        <n v="430" u="1"/>
        <n v="365" u="1"/>
        <n v="81" u="1"/>
        <n v="300" u="1"/>
        <n v="40" u="1"/>
        <n v="609" u="1"/>
        <n v="148" u="1"/>
        <n v="544" u="1"/>
        <n v="463" u="1"/>
        <n v="398" u="1"/>
        <n v="333" u="1"/>
        <n v="73" u="1"/>
        <n v="268" u="1"/>
        <n v="197" u="1"/>
        <n v="610" u="1"/>
        <n v="36" u="1"/>
        <n v="545" u="1"/>
        <n v="132" u="1"/>
        <n v="496" u="1"/>
        <n v="431" u="1"/>
        <n v="366" u="1"/>
        <n v="301" u="1"/>
        <n v="65" u="1"/>
        <n v="246" u="1"/>
        <n v="181" u="1"/>
        <n v="611" u="1"/>
        <n v="546" u="1"/>
        <n v="32" u="1"/>
        <n v="122" u="1"/>
        <n v="464" u="1"/>
        <n v="399" u="1"/>
        <n v="334" u="1"/>
        <n v="269" u="1"/>
        <n v="230" u="1"/>
        <n v="165" u="1"/>
        <n v="612" u="1"/>
        <n v="547" u="1"/>
        <n v="497" u="1"/>
        <n v="30" u="1"/>
        <n v="114" u="1"/>
        <n v="432" u="1"/>
        <n v="367" u="1"/>
        <n v="302" u="1"/>
        <n v="214" u="1"/>
        <n v="613" u="1"/>
        <n v="149" u="1"/>
        <n v="548" u="1"/>
        <n v="465" u="1"/>
        <n v="28" u="1"/>
        <n v="106" u="1"/>
        <n v="400" u="1"/>
        <n v="335" u="1"/>
        <n v="270" u="1"/>
        <n v="198" u="1"/>
        <n v="614" u="1"/>
        <n v="549" u="1"/>
        <n v="133" u="1"/>
        <n v="498" u="1"/>
        <n v="433" u="1"/>
        <n v="26" u="1"/>
        <n v="98" u="1"/>
        <n v="368" u="1"/>
        <n v="303" u="1"/>
        <n v="247" u="1"/>
        <n v="182" u="1"/>
        <n v="615" u="1"/>
        <n v="550" u="1"/>
        <n v="466" u="1"/>
        <n v="401" u="1"/>
        <n v="90" u="1"/>
        <n v="336" u="1"/>
        <n v="271" u="1"/>
        <n v="231" u="1"/>
        <n v="166" u="1"/>
        <n v="616" u="1"/>
        <n v="551" u="1"/>
        <n v="499" u="1"/>
        <n v="434" u="1"/>
        <n v="369" u="1"/>
        <n v="22" u="1"/>
        <n v="82" u="1"/>
        <n v="304" u="1"/>
        <n v="215" u="1"/>
        <n v="617" u="1"/>
        <n v="150" u="1"/>
        <n v="552" u="1"/>
        <n v="467" u="1"/>
        <n v="402" u="1"/>
        <n v="337" u="1"/>
        <n v="20" u="1"/>
        <n v="74" u="1"/>
        <n v="272" u="1"/>
        <n v="199" u="1"/>
        <n v="618" u="1"/>
        <n v="553" u="1"/>
        <n v="134" u="1"/>
        <n v="500" u="1"/>
        <n v="435" u="1"/>
        <n v="370" u="1"/>
        <n v="305" u="1"/>
        <n v="18" u="1"/>
        <n v="66" u="1"/>
        <n v="248" u="1"/>
        <n v="183" u="1"/>
        <n v="619" u="1"/>
        <n v="554" u="1"/>
        <n v="123" u="1"/>
        <n v="468" u="1"/>
        <n v="403" u="1"/>
        <n v="338" u="1"/>
        <n v="273" u="1"/>
        <n v="16" u="1"/>
        <n v="61" u="1"/>
        <n v="232" u="1"/>
        <n v="167" u="1"/>
        <n v="620" u="1"/>
        <n v="555" u="1"/>
        <n v="501" u="1"/>
        <n v="115" u="1"/>
        <n v="436" u="1"/>
        <n v="371" u="1"/>
        <n v="306" u="1"/>
        <n v="15" u="1"/>
        <n v="57" u="1"/>
        <n v="216" u="1"/>
        <n v="621" u="1"/>
        <n v="151" u="1"/>
        <n v="556" u="1"/>
        <n v="469" u="1"/>
        <n v="107" u="1"/>
        <n v="404" u="1"/>
        <n v="339" u="1"/>
        <n v="274" u="1"/>
        <n v="14" u="1"/>
        <n v="53" u="1"/>
        <n v="200" u="1"/>
        <n v="622" u="1"/>
        <n v="557" u="1"/>
        <n v="135" u="1"/>
        <n v="502" u="1"/>
        <n v="437" u="1"/>
        <n v="99" u="1"/>
        <n v="372" u="1"/>
        <n v="307" u="1"/>
        <n v="249" u="1"/>
        <n v="13" u="1"/>
        <n v="49" u="1"/>
        <n v="184" u="1"/>
        <n v="623" u="1"/>
        <n v="558" u="1"/>
        <n v="470" u="1"/>
        <n v="405" u="1"/>
        <n v="91" u="1"/>
        <n v="340" u="1"/>
        <n v="275" u="1"/>
        <n v="233" u="1"/>
        <n v="12" u="1"/>
        <n v="45" u="1"/>
        <n v="168" u="1"/>
        <n v="624" u="1"/>
        <n v="559" u="1"/>
        <n v="503" u="1"/>
        <n v="438" u="1"/>
        <n v="373" u="1"/>
        <n v="83" u="1"/>
        <n v="308" u="1"/>
        <n v="217" u="1"/>
        <n v="11" u="1"/>
        <n v="41" u="1"/>
        <n v="625" u="1"/>
        <n v="152" u="1"/>
        <n v="560" u="1"/>
        <n v="471" u="1"/>
        <n v="406" u="1"/>
        <n v="341" u="1"/>
        <n v="75" u="1"/>
        <n v="276" u="1"/>
        <n v="201" u="1"/>
        <n v="626" u="1"/>
        <n v="10" u="1"/>
        <n v="37" u="1"/>
        <n v="561" u="1"/>
        <n v="136" u="1"/>
        <n v="504" u="1"/>
        <n v="439" u="1"/>
        <n v="374" u="1"/>
        <n v="309" u="1"/>
        <n v="67" u="1"/>
        <n v="250" u="1"/>
        <n v="185" u="1"/>
        <n v="627" u="1"/>
        <n v="562" u="1"/>
        <n v="9" u="1"/>
        <n v="33" u="1"/>
        <n v="124" u="1"/>
        <n v="472" u="1"/>
        <n v="407" u="1"/>
        <n v="342" u="1"/>
        <n v="277" u="1"/>
        <n v="234" u="1"/>
        <n v="169" u="1"/>
        <n v="628" u="1"/>
        <n v="563" u="1"/>
        <n v="505" u="1"/>
        <n v="8" u="1"/>
        <n v="116" u="1"/>
        <n v="440" u="1"/>
        <n v="375" u="1"/>
        <n v="310" u="1"/>
        <n v="218" u="1"/>
        <n v="629" u="1"/>
        <n v="153" u="1"/>
        <n v="564" u="1"/>
        <n v="473" u="1"/>
        <n v="108" u="1"/>
        <n v="408" u="1"/>
        <n v="343" u="1"/>
        <n v="278" u="1"/>
        <n v="202" u="1"/>
        <n v="630" u="1"/>
        <n v="565" u="1"/>
        <n v="137" u="1"/>
        <n v="506" u="1"/>
        <n v="441" u="1"/>
        <n v="7" u="1"/>
        <n v="100" u="1"/>
        <n v="376" u="1"/>
        <n v="311" u="1"/>
        <n v="251" u="1"/>
        <n v="186" u="1"/>
        <n v="631" u="1"/>
        <n v="566" u="1"/>
        <n v="474" u="1"/>
        <n v="409" u="1"/>
        <n v="92" u="1"/>
        <n v="344" u="1"/>
        <n v="279" u="1"/>
        <n v="235" u="1"/>
        <n v="170" u="1"/>
        <n v="632" u="1"/>
        <n v="567" u="1"/>
        <n v="507" u="1"/>
        <n v="442" u="1"/>
        <n v="377" u="1"/>
        <n v="6" u="1"/>
        <n v="84" u="1"/>
        <n v="312" u="1"/>
        <n v="219" u="1"/>
        <n v="633" u="1"/>
        <n v="154" u="1"/>
        <n v="568" u="1"/>
        <n v="475" u="1"/>
        <n v="410" u="1"/>
        <n v="345" u="1"/>
        <n v="76" u="1"/>
        <n v="280" u="1"/>
        <n v="203" u="1"/>
        <n v="634" u="1"/>
        <n v="569" u="1"/>
        <n v="138" u="1"/>
        <n v="508" u="1"/>
        <n v="378" u="1"/>
        <n v="313" u="1"/>
        <n v="5" u="1"/>
        <n v="68" u="1"/>
        <n v="252" u="1"/>
        <n v="187" u="1"/>
        <n v="635" u="1"/>
        <n v="570" u="1"/>
        <n v="125" u="1"/>
        <n v="476" u="1"/>
        <n v="411" u="1"/>
        <n v="346" u="1"/>
        <n v="281" u="1"/>
        <n v="62" u="1"/>
        <n v="236" u="1"/>
        <n v="171" u="1"/>
        <n v="636" u="1"/>
        <n v="571" u="1"/>
        <n v="509" u="1"/>
        <n v="117" u="1"/>
        <n v="444" u="1"/>
        <n v="379" u="1"/>
        <n v="314" u="1"/>
        <n v="4" u="1"/>
        <n v="58" u="1"/>
        <n v="220" u="1"/>
        <n v="637" u="1"/>
        <n v="155" u="1"/>
        <n v="572" u="1"/>
        <n v="477" u="1"/>
        <n v="109" u="1"/>
        <n v="412" u="1"/>
        <n v="347" u="1"/>
        <n v="282" u="1"/>
        <n v="54" u="1"/>
        <n v="204" u="1"/>
        <n v="638" u="1"/>
        <n v="573" u="1"/>
        <n v="139" u="1"/>
        <n v="510" u="1"/>
        <n v="445" u="1"/>
        <n v="101" u="1"/>
        <n v="380" u="1"/>
        <n v="315" u="1"/>
        <n v="253" u="1"/>
        <n v="50" u="1"/>
        <n v="188" u="1"/>
        <n v="639" u="1"/>
        <n v="574" u="1"/>
        <n v="478" u="1"/>
        <n v="413" u="1"/>
        <n v="93" u="1"/>
        <n v="348" u="1"/>
        <n v="283" u="1"/>
        <n v="237" u="1"/>
        <n v="46" u="1"/>
        <n v="172" u="1"/>
        <n v="640" u="1"/>
        <n v="575" u="1"/>
        <n v="511" u="1"/>
        <n v="446" u="1"/>
        <n v="381" u="1"/>
        <n v="85" u="1"/>
        <n v="221" u="1"/>
        <n v="3" u="1"/>
        <n v="42" u="1"/>
        <n v="641" u="1"/>
        <n v="156" u="1"/>
        <n v="576" u="1"/>
        <n v="479" u="1"/>
        <n v="414" u="1"/>
        <n v="349" u="1"/>
        <n v="77" u="1"/>
        <n v="284" u="1"/>
        <n v="205" u="1"/>
        <n v="642" u="1"/>
        <n v="38" u="1"/>
        <n v="577" u="1"/>
        <n v="140" u="1"/>
        <n v="512" u="1"/>
        <n v="447" u="1"/>
        <n v="382" u="1"/>
        <n v="317" u="1"/>
        <n v="69" u="1"/>
        <n v="254" u="1"/>
        <n v="189" u="1"/>
        <n v="643" u="1"/>
        <n v="578" u="1"/>
        <n v="34" u="1"/>
        <n v="513" u="1"/>
        <n v="126" u="1"/>
        <n v="480" u="1"/>
        <n v="415" u="1"/>
        <n v="350" u="1"/>
        <n v="285" u="1"/>
        <n v="238" u="1"/>
        <n v="173" u="1"/>
        <n v="644" u="1"/>
        <n v="579" u="1"/>
        <n v="514" u="1"/>
        <n v="31" u="1"/>
        <n v="118" u="1"/>
        <n v="448" u="1"/>
        <n v="383" u="1"/>
        <n v="318" u="1"/>
        <n v="222" u="1"/>
        <n v="645" u="1"/>
        <n v="157" u="1"/>
        <n v="580" u="1"/>
        <n v="515" u="1"/>
        <n v="2" u="1"/>
        <n v="481" u="1"/>
        <n v="29" u="1"/>
        <n v="110" u="1"/>
        <n v="416" u="1"/>
        <n v="351" u="1"/>
        <n v="286" u="1"/>
        <n v="206" u="1"/>
        <n v="646" u="1"/>
        <n v="581" u="1"/>
        <n v="141" u="1"/>
        <n v="516" u="1"/>
        <n v="449" u="1"/>
        <n v="27" u="1"/>
        <n v="102" u="1"/>
        <n v="384" u="1"/>
        <n v="319" u="1"/>
        <n v="255" u="1"/>
        <n v="190" u="1"/>
        <n v="647" u="1"/>
      </sharedItems>
    </cacheField>
    <cacheField name="Id_Date" numFmtId="22">
      <sharedItems containsSemiMixedTypes="0" containsNonDate="0" containsDate="1" containsString="0" minDate="2022-02-24T18:00:00" maxDate="2022-02-24T18:00:00"/>
    </cacheField>
    <cacheField name="Date2" numFmtId="22">
      <sharedItems containsSemiMixedTypes="0" containsNonDate="0" containsDate="1" containsString="0" minDate="2022-02-24T20:54:54" maxDate="2022-02-24T20:54:54"/>
    </cacheField>
    <cacheField name="." numFmtId="0">
      <sharedItems containsNonDate="0" containsString="0" containsBlank="1"/>
    </cacheField>
    <cacheField name="Dif.Km" numFmtId="0">
      <sharedItems containsMixedTypes="1" containsNumber="1" containsInteger="1" minValue="-670" maxValue="660" count="256">
        <s v=""/>
        <n v="-20"/>
        <n v="39"/>
        <n v="10"/>
        <n v="-274" u="1"/>
        <n v="-19" u="1"/>
        <n v="0" u="1"/>
        <n v="-115" u="1"/>
        <n v="-54" u="1"/>
        <n v="57" u="1"/>
        <n v="185" u="1"/>
        <n v="256" u="1"/>
        <n v="-69" u="1"/>
        <n v="-7" u="1"/>
        <n v="34" u="1"/>
        <n v="75" u="1"/>
        <n v="100" u="1"/>
        <n v="-56" u="1"/>
        <n v="13" u="1"/>
        <n v="59" u="1"/>
        <n v="125" u="1"/>
        <n v="-73" u="1"/>
        <n v="-33" u="1"/>
        <n v="36" u="1"/>
        <n v="-98" u="1"/>
        <n v="-21" u="1"/>
        <n v="-58" u="1"/>
        <n v="61" u="1"/>
        <n v="-77" u="1"/>
        <n v="-35" u="1"/>
        <n v="38" u="1"/>
        <n v="-147" u="1"/>
        <n v="-102" u="1"/>
        <n v="-22" u="1"/>
        <n v="5" u="1"/>
        <n v="-60" u="1"/>
        <n v="14" u="1"/>
        <n v="63" u="1"/>
        <n v="-309" u="1"/>
        <n v="-81" u="1"/>
        <n v="-37" u="1"/>
        <n v="40" u="1"/>
        <n v="87" u="1"/>
        <n v="-106" u="1"/>
        <n v="-23" u="1"/>
        <n v="-1" u="1"/>
        <n v="-62" u="1"/>
        <n v="-3" u="1"/>
        <n v="66" u="1"/>
        <n v="146" u="1"/>
        <n v="-85" u="1"/>
        <n v="-39" u="1"/>
        <n v="-8" u="1"/>
        <n v="42" u="1"/>
        <n v="91" u="1"/>
        <n v="-110" u="1"/>
        <n v="-24" u="1"/>
        <n v="15" u="1"/>
        <n v="70" u="1"/>
        <n v="-270" u="1"/>
        <n v="-89" u="1"/>
        <n v="-41" u="1"/>
        <n v="44" u="1"/>
        <n v="95" u="1"/>
        <n v="-114" u="1"/>
        <n v="-25" u="1"/>
        <n v="120" u="1"/>
        <n v="-68" u="1"/>
        <n v="74" u="1"/>
        <n v="-129" u="1"/>
        <n v="-93" u="1"/>
        <n v="-43" u="1"/>
        <n v="-9" u="1"/>
        <n v="2" u="1"/>
        <n v="46" u="1"/>
        <n v="99" u="1"/>
        <n v="-26" u="1"/>
        <n v="6" u="1"/>
        <n v="191" u="1"/>
        <n v="-158" u="1"/>
        <n v="-72" u="1"/>
        <n v="16" u="1"/>
        <n v="78" u="1"/>
        <n v="510" u="1"/>
        <n v="-137" u="1"/>
        <n v="-97" u="1"/>
        <n v="-45" u="1"/>
        <n v="48" u="1"/>
        <n v="103" u="1"/>
        <n v="-27" u="1"/>
        <n v="-289" u="1"/>
        <n v="-166" u="1"/>
        <n v="-76" u="1"/>
        <n v="17" u="1"/>
        <n v="82" u="1"/>
        <n v="-145" u="1"/>
        <n v="-101" u="1"/>
        <n v="-47" u="1"/>
        <n v="-10" u="1"/>
        <n v="50" u="1"/>
        <n v="107" u="1"/>
        <n v="-126" u="1"/>
        <n v="-28" u="1"/>
        <n v="136" u="1"/>
        <n v="-80" u="1"/>
        <n v="18" u="1"/>
        <n v="-334" u="1"/>
        <n v="-49" u="1"/>
        <n v="52" u="1"/>
        <n v="111" u="1"/>
        <n v="-132" u="1"/>
        <n v="-29" u="1"/>
        <n v="65" u="1"/>
        <n v="-84" u="1"/>
        <n v="19" u="1"/>
        <n v="90" u="1"/>
        <n v="-51" u="1"/>
        <n v="-11" u="1"/>
        <n v="54" u="1"/>
        <n v="115" u="1"/>
        <n v="-211" u="1"/>
        <n v="-30" u="1"/>
        <n v="7" u="1"/>
        <n v="69" u="1"/>
        <n v="20" u="1"/>
        <n v="-113" u="1"/>
        <n v="-53" u="1"/>
        <n v="56" u="1"/>
        <n v="-67" u="1"/>
        <n v="-31" u="1"/>
        <n v="33" u="1"/>
        <n v="73" u="1"/>
        <n v="-620" u="1"/>
        <n v="-92" u="1"/>
        <n v="-4" u="1"/>
        <n v="21" u="1"/>
        <n v="139" u="1"/>
        <n v="-117" u="1"/>
        <n v="-55" u="1"/>
        <n v="-12" u="1"/>
        <n v="58" u="1"/>
        <n v="-665" u="1"/>
        <n v="-32" u="1"/>
        <n v="35" u="1"/>
        <n v="-206" u="1"/>
        <n v="-96" u="1"/>
        <n v="22" u="1"/>
        <n v="218" u="1"/>
        <n v="-256" u="1"/>
        <n v="-57" u="1"/>
        <n v="60" u="1"/>
        <n v="-75" u="1"/>
        <n v="-34" u="1"/>
        <n v="37" u="1"/>
        <n v="81" u="1"/>
        <n v="1" u="1"/>
        <n v="23" u="1"/>
        <n v="-272" u="1"/>
        <n v="-59" u="1"/>
        <n v="-13" u="1"/>
        <n v="3" u="1"/>
        <n v="62" u="1"/>
        <n v="-516" u="1"/>
        <n v="-243" u="1"/>
        <n v="-79" u="1"/>
        <n v="-36" u="1"/>
        <n v="8" u="1"/>
        <n v="85" u="1"/>
        <n v="24" u="1"/>
        <n v="-130" u="1"/>
        <n v="-61" u="1"/>
        <n v="64" u="1"/>
        <n v="-251" u="1"/>
        <n v="-83" u="1"/>
        <n v="-38" u="1"/>
        <n v="41" u="1"/>
        <n v="89" u="1"/>
        <n v="-417" u="1"/>
        <n v="-275" u="1"/>
        <n v="-108" u="1"/>
        <n v="-5" u="1"/>
        <n v="25" u="1"/>
        <n v="-63" u="1"/>
        <n v="-14" u="1"/>
        <n v="68" u="1"/>
        <n v="-87" u="1"/>
        <n v="-40" u="1"/>
        <n v="9" u="1"/>
        <n v="43" u="1"/>
        <n v="26" u="1"/>
        <n v="250" u="1"/>
        <n v="-391" u="1"/>
        <n v="-146" u="1"/>
        <n v="-66" u="1"/>
        <n v="72" u="1"/>
        <n v="-91" u="1"/>
        <n v="-42" u="1"/>
        <n v="45" u="1"/>
        <n v="660" u="1"/>
        <n v="-670" u="1"/>
        <n v="27" u="1"/>
        <n v="-70" u="1"/>
        <n v="-15" u="1"/>
        <n v="166" u="1"/>
        <n v="-95" u="1"/>
        <n v="-44" u="1"/>
        <n v="47" u="1"/>
        <n v="-323" u="1"/>
        <n v="28" u="1"/>
        <n v="126" u="1"/>
        <n v="-74" u="1"/>
        <n v="80" u="1"/>
        <n v="-99" u="1"/>
        <n v="-46" u="1"/>
        <n v="-2" u="1"/>
        <n v="49" u="1"/>
        <n v="-410" u="1"/>
        <n v="-124" u="1"/>
        <n v="-6" u="1"/>
        <n v="29" u="1"/>
        <n v="132" u="1"/>
        <n v="-170" u="1"/>
        <n v="-78" u="1"/>
        <n v="-16" u="1"/>
        <n v="84" u="1"/>
        <n v="-397" u="1"/>
        <n v="-103" u="1"/>
        <n v="-48" u="1"/>
        <n v="11" u="1"/>
        <n v="51" u="1"/>
        <n v="-355" u="1"/>
        <n v="30" u="1"/>
        <n v="140" u="1"/>
        <n v="-249" u="1"/>
        <n v="-17" u="1"/>
        <n v="88" u="1"/>
        <n v="-228" u="1"/>
        <n v="-107" u="1"/>
        <n v="-50" u="1"/>
        <n v="53" u="1"/>
        <n v="169" u="1"/>
        <n v="-300" u="1"/>
        <n v="31" u="1"/>
        <n v="67" u="1"/>
        <n v="-329" u="1"/>
        <n v="-18" u="1"/>
        <n v="4" u="1"/>
        <n v="92" u="1"/>
        <n v="-287" u="1"/>
        <n v="-111" u="1"/>
        <n v="-52" u="1"/>
        <n v="12" u="1"/>
        <n v="55" u="1"/>
        <n v="177" u="1"/>
        <n v="-65" u="1"/>
        <n v="32" u="1"/>
      </sharedItems>
    </cacheField>
    <cacheField name=".2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s v="Barrancabermeja"/>
    <x v="0"/>
    <s v=""/>
    <s v=""/>
    <n v="432"/>
    <s v="Rio Magdalena"/>
    <x v="0"/>
    <s v=""/>
    <s v=""/>
    <s v=""/>
    <s v=""/>
    <s v=""/>
    <s v=""/>
    <s v="Km 432-RM"/>
    <s v=""/>
    <n v="0"/>
    <d v="2022-02-24T18:00:00"/>
    <d v="2022-02-24T20:11:50"/>
    <m/>
    <s v=""/>
    <m/>
  </r>
  <r>
    <s v="Soledad"/>
    <x v="0"/>
    <s v=""/>
    <s v=""/>
    <s v="Boya Puerto Bahia"/>
    <s v="Canal del Dique"/>
    <x v="0"/>
    <s v=""/>
    <s v=""/>
    <s v=""/>
    <s v=""/>
    <s v=""/>
    <s v=""/>
    <s v="Boya Puerto Bahia"/>
    <s v=""/>
    <n v="0"/>
    <d v="2022-02-24T18:00:00"/>
    <d v="2022-02-24T20:11:50"/>
    <m/>
    <s v=""/>
    <m/>
  </r>
  <r>
    <s v="Zambrano"/>
    <x v="1"/>
    <s v=""/>
    <s v=""/>
    <s v="ITBB"/>
    <s v="Rio Magdalena"/>
    <x v="1"/>
    <s v=""/>
    <s v=""/>
    <s v=""/>
    <s v=""/>
    <s v=""/>
    <s v=""/>
    <s v="Itbb"/>
    <s v=""/>
    <n v="0"/>
    <d v="2022-02-24T18:00:00"/>
    <d v="2022-02-24T20:11:50"/>
    <m/>
    <s v=""/>
    <m/>
  </r>
  <r>
    <s v="Mompox"/>
    <x v="2"/>
    <s v=""/>
    <s v=""/>
    <s v="COFIBA"/>
    <s v="Canal del Dique"/>
    <x v="2"/>
    <s v=""/>
    <s v=""/>
    <s v=""/>
    <s v=""/>
    <s v=""/>
    <s v=""/>
    <s v="Cofiba"/>
    <s v=""/>
    <n v="0"/>
    <d v="2022-02-24T18:00:00"/>
    <d v="2022-02-24T20:11:50"/>
    <m/>
    <s v=""/>
    <m/>
  </r>
  <r>
    <s v="Cantagallo"/>
    <x v="0"/>
    <s v=""/>
    <s v=""/>
    <s v="COFIBA"/>
    <s v="Rio Magdalena"/>
    <x v="3"/>
    <s v=""/>
    <s v=""/>
    <s v=""/>
    <s v=""/>
    <s v=""/>
    <s v=""/>
    <s v="Cofiba"/>
    <s v=""/>
    <n v="0"/>
    <d v="2022-02-24T18:00:00"/>
    <d v="2022-02-24T20:11:50"/>
    <m/>
    <s v=""/>
    <m/>
  </r>
  <r>
    <s v="Magangue"/>
    <x v="0"/>
    <s v=""/>
    <s v=""/>
    <s v="ITBB"/>
    <s v="Rio Magdalena"/>
    <x v="4"/>
    <s v=""/>
    <s v=""/>
    <s v=""/>
    <s v=""/>
    <s v=""/>
    <s v=""/>
    <s v="Itbb"/>
    <s v=""/>
    <n v="0"/>
    <d v="2022-02-24T18:00:00"/>
    <d v="2022-02-24T20:11:50"/>
    <m/>
    <s v=""/>
    <s v=""/>
  </r>
  <r>
    <s v="Gamarra"/>
    <x v="3"/>
    <s v="Down"/>
    <s v="17/02/2022 AM"/>
    <n v="71"/>
    <s v="Canal del Dique"/>
    <x v="5"/>
    <s v="TTK 85 - 80 - 63 - 67 - MGB 12 (Crudo)"/>
    <s v="Cierre canal por comunidad en el KM 30 CD"/>
    <n v="91"/>
    <s v="Canal del Dique"/>
    <s v="CTG"/>
    <s v="VDEC879"/>
    <s v="Km 71-CD"/>
    <s v="Km 91-CD"/>
    <n v="49"/>
    <d v="2022-02-24T18:00:00"/>
    <d v="2022-02-24T20:11:50"/>
    <m/>
    <n v="-20"/>
    <n v="1"/>
  </r>
  <r>
    <s v="San Pablo"/>
    <x v="3"/>
    <s v="Down"/>
    <s v="18/02/2022 PM"/>
    <n v="462"/>
    <s v="Rio Magdalena"/>
    <x v="5"/>
    <s v="TTK 69-15-04 (Vacias)"/>
    <s v=""/>
    <n v="501"/>
    <s v="Rio Magdalena"/>
    <s v="San Pedrito"/>
    <s v="VDEC880"/>
    <s v="Km 462-RM"/>
    <s v="Km 501-RM"/>
    <n v="492"/>
    <d v="2022-02-24T18:00:00"/>
    <d v="2022-02-24T20:11:50"/>
    <m/>
    <n v="39"/>
    <n v="1"/>
  </r>
  <r>
    <s v="Calamar"/>
    <x v="2"/>
    <s v=""/>
    <s v=""/>
    <s v="COFIBA"/>
    <s v="Rio Magdalena"/>
    <x v="2"/>
    <s v=""/>
    <s v=""/>
    <s v=""/>
    <s v=""/>
    <s v=""/>
    <s v=""/>
    <s v="Cofiba"/>
    <s v=""/>
    <n v="0"/>
    <d v="2022-02-24T18:00:00"/>
    <d v="2022-02-24T20:11:50"/>
    <m/>
    <s v=""/>
    <s v=""/>
  </r>
  <r>
    <s v="Pto Salgar"/>
    <x v="0"/>
    <s v=""/>
    <s v=""/>
    <s v="Boya Ecopetrol"/>
    <s v="Canal del Dique"/>
    <x v="6"/>
    <s v=""/>
    <s v=""/>
    <s v=""/>
    <s v=""/>
    <s v=""/>
    <s v=""/>
    <s v="Boya Ecopetrol"/>
    <s v=""/>
    <n v="0"/>
    <d v="2022-02-24T18:00:00"/>
    <d v="2022-02-24T20:11:50"/>
    <m/>
    <s v=""/>
    <s v=""/>
  </r>
  <r>
    <s v="Pto Triunfo "/>
    <x v="4"/>
    <s v="Up"/>
    <s v="17/02/2022 PM"/>
    <n v="602"/>
    <s v="Rio Magdalena"/>
    <x v="5"/>
    <s v="MGB 03 - TTK 66 - 19 (Vacías)"/>
    <s v=""/>
    <n v="592"/>
    <s v="Rio Magdalena"/>
    <s v="ITBB"/>
    <s v="SU1264"/>
    <s v="Km 602-RM"/>
    <s v="Km 592-RM"/>
    <n v="24"/>
    <d v="2022-02-24T18:00:00"/>
    <d v="2022-02-24T20:11:50"/>
    <m/>
    <n v="10"/>
    <n v="1"/>
  </r>
  <r>
    <s v="Capulco"/>
    <x v="4"/>
    <s v="Up"/>
    <s v="18/02/2022 AM"/>
    <n v="505"/>
    <s v="Rio Magdalena"/>
    <x v="0"/>
    <s v="TTK 61-07-21 (Diesel)"/>
    <s v=""/>
    <s v=""/>
    <s v="Rio Magdalena"/>
    <s v="ITBB"/>
    <s v="SU1265"/>
    <s v="Km 505-RM"/>
    <s v=""/>
    <n v="121"/>
    <d v="2022-02-24T18:00:00"/>
    <d v="2022-02-24T20:11:50"/>
    <m/>
    <s v=""/>
    <s v=""/>
  </r>
  <r>
    <s v="Cavalier VIII"/>
    <x v="2"/>
    <s v=""/>
    <s v=""/>
    <s v="COFIBA"/>
    <s v="Rio Magdalena"/>
    <x v="2"/>
    <s v=""/>
    <s v=""/>
    <s v=""/>
    <s v=""/>
    <s v=""/>
    <s v=""/>
    <s v="Cofiba"/>
    <s v=""/>
    <n v="0"/>
    <d v="2022-02-24T18:00:00"/>
    <d v="2022-02-24T20:11:50"/>
    <m/>
    <s v=""/>
    <s v=""/>
  </r>
  <r>
    <s v="Barranquilla"/>
    <x v="0"/>
    <s v=""/>
    <s v=""/>
    <n v="432"/>
    <s v="Rio Magdalena"/>
    <x v="7"/>
    <s v=""/>
    <s v=""/>
    <s v=""/>
    <s v=""/>
    <s v=""/>
    <s v=""/>
    <s v="Km 432-RM"/>
    <s v=""/>
    <n v="0"/>
    <d v="2022-02-24T18:00:00"/>
    <d v="2022-02-24T20:11:50"/>
    <m/>
    <s v=""/>
    <s v=""/>
  </r>
  <r>
    <s v="Pto Berrio"/>
    <x v="2"/>
    <s v=""/>
    <s v=""/>
    <s v="COFIBA"/>
    <s v="Rio Magdalena"/>
    <x v="2"/>
    <s v=""/>
    <s v=""/>
    <s v=""/>
    <s v=""/>
    <s v=""/>
    <s v=""/>
    <s v="Cofiba"/>
    <s v=""/>
    <n v="0"/>
    <d v="2022-02-24T18:00:00"/>
    <d v="2022-02-24T20:11:50"/>
    <m/>
    <s v=""/>
    <s v=""/>
  </r>
  <r>
    <s v="La Gloria"/>
    <x v="0"/>
    <s v=""/>
    <s v=""/>
    <n v="432"/>
    <s v="Rio Magdalena"/>
    <x v="6"/>
    <s v=""/>
    <s v=""/>
    <s v=""/>
    <s v=""/>
    <s v=""/>
    <s v=""/>
    <s v="Km 432-RM"/>
    <s v=""/>
    <n v="0"/>
    <d v="2022-02-24T18:00:00"/>
    <d v="2022-02-24T20:11:50"/>
    <m/>
    <s v=""/>
    <s v=""/>
  </r>
  <r>
    <s v="El Banco"/>
    <x v="0"/>
    <s v=""/>
    <s v=""/>
    <s v="Mardique"/>
    <s v="Canal del Dique"/>
    <x v="6"/>
    <s v=""/>
    <s v=""/>
    <s v=""/>
    <s v=""/>
    <s v=""/>
    <s v=""/>
    <s v="Mardique"/>
    <s v=""/>
    <n v="0"/>
    <d v="2022-02-24T18:00:00"/>
    <d v="2022-02-24T20:11:50"/>
    <m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">
  <r>
    <x v="0"/>
    <x v="0"/>
    <s v=""/>
    <x v="0"/>
    <n v="432"/>
    <s v="Rio Magdalena"/>
    <x v="0"/>
    <x v="0"/>
    <x v="0"/>
    <s v=""/>
    <s v=""/>
    <x v="0"/>
    <x v="0"/>
    <x v="0"/>
    <x v="0"/>
    <x v="0"/>
    <d v="2022-02-24T18:00:00"/>
    <d v="2022-02-24T20:54:54"/>
    <m/>
    <x v="0"/>
    <m/>
  </r>
  <r>
    <x v="1"/>
    <x v="0"/>
    <s v=""/>
    <x v="0"/>
    <s v="Boya Puerto Bahia"/>
    <s v="Canal del Dique"/>
    <x v="0"/>
    <x v="0"/>
    <x v="0"/>
    <s v=""/>
    <s v=""/>
    <x v="0"/>
    <x v="0"/>
    <x v="1"/>
    <x v="0"/>
    <x v="0"/>
    <d v="2022-02-24T18:00:00"/>
    <d v="2022-02-24T20:54:54"/>
    <m/>
    <x v="0"/>
    <m/>
  </r>
  <r>
    <x v="2"/>
    <x v="1"/>
    <s v=""/>
    <x v="0"/>
    <s v="ITBB"/>
    <s v="Rio Magdalena"/>
    <x v="1"/>
    <x v="0"/>
    <x v="0"/>
    <s v=""/>
    <s v=""/>
    <x v="0"/>
    <x v="0"/>
    <x v="2"/>
    <x v="0"/>
    <x v="0"/>
    <d v="2022-02-24T18:00:00"/>
    <d v="2022-02-24T20:54:54"/>
    <m/>
    <x v="0"/>
    <m/>
  </r>
  <r>
    <x v="3"/>
    <x v="2"/>
    <s v=""/>
    <x v="0"/>
    <s v="COFIBA"/>
    <s v="Canal del Dique"/>
    <x v="2"/>
    <x v="0"/>
    <x v="0"/>
    <s v=""/>
    <s v=""/>
    <x v="0"/>
    <x v="0"/>
    <x v="3"/>
    <x v="0"/>
    <x v="0"/>
    <d v="2022-02-24T18:00:00"/>
    <d v="2022-02-24T20:54:54"/>
    <m/>
    <x v="0"/>
    <m/>
  </r>
  <r>
    <x v="4"/>
    <x v="0"/>
    <s v=""/>
    <x v="0"/>
    <s v="COFIBA"/>
    <s v="Rio Magdalena"/>
    <x v="3"/>
    <x v="0"/>
    <x v="0"/>
    <s v=""/>
    <s v=""/>
    <x v="0"/>
    <x v="0"/>
    <x v="3"/>
    <x v="0"/>
    <x v="0"/>
    <d v="2022-02-24T18:00:00"/>
    <d v="2022-02-24T20:54:54"/>
    <m/>
    <x v="0"/>
    <m/>
  </r>
  <r>
    <x v="5"/>
    <x v="0"/>
    <s v=""/>
    <x v="0"/>
    <s v="ITBB"/>
    <s v="Rio Magdalena"/>
    <x v="4"/>
    <x v="0"/>
    <x v="0"/>
    <s v=""/>
    <s v=""/>
    <x v="0"/>
    <x v="0"/>
    <x v="2"/>
    <x v="0"/>
    <x v="0"/>
    <d v="2022-02-24T18:00:00"/>
    <d v="2022-02-24T20:54:54"/>
    <m/>
    <x v="0"/>
    <s v=""/>
  </r>
  <r>
    <x v="6"/>
    <x v="3"/>
    <s v="Down"/>
    <x v="1"/>
    <n v="71"/>
    <s v="Canal del Dique"/>
    <x v="5"/>
    <x v="1"/>
    <x v="1"/>
    <n v="91"/>
    <s v="Canal del Dique"/>
    <x v="1"/>
    <x v="1"/>
    <x v="4"/>
    <x v="1"/>
    <x v="0"/>
    <d v="2022-02-24T18:00:00"/>
    <d v="2022-02-24T20:54:54"/>
    <m/>
    <x v="1"/>
    <n v="1"/>
  </r>
  <r>
    <x v="7"/>
    <x v="3"/>
    <s v="Down"/>
    <x v="2"/>
    <n v="462"/>
    <s v="Rio Magdalena"/>
    <x v="5"/>
    <x v="2"/>
    <x v="0"/>
    <n v="501"/>
    <s v="Rio Magdalena"/>
    <x v="2"/>
    <x v="2"/>
    <x v="5"/>
    <x v="2"/>
    <x v="1"/>
    <d v="2022-02-24T18:00:00"/>
    <d v="2022-02-24T20:54:54"/>
    <m/>
    <x v="2"/>
    <n v="1"/>
  </r>
  <r>
    <x v="8"/>
    <x v="2"/>
    <s v=""/>
    <x v="0"/>
    <s v="COFIBA"/>
    <s v="Rio Magdalena"/>
    <x v="2"/>
    <x v="0"/>
    <x v="0"/>
    <s v=""/>
    <s v=""/>
    <x v="0"/>
    <x v="0"/>
    <x v="3"/>
    <x v="0"/>
    <x v="0"/>
    <d v="2022-02-24T18:00:00"/>
    <d v="2022-02-24T20:54:54"/>
    <m/>
    <x v="0"/>
    <s v=""/>
  </r>
  <r>
    <x v="9"/>
    <x v="0"/>
    <s v=""/>
    <x v="0"/>
    <s v="Boya Ecopetrol"/>
    <s v="Canal del Dique"/>
    <x v="6"/>
    <x v="0"/>
    <x v="0"/>
    <s v=""/>
    <s v=""/>
    <x v="0"/>
    <x v="0"/>
    <x v="6"/>
    <x v="0"/>
    <x v="0"/>
    <d v="2022-02-24T18:00:00"/>
    <d v="2022-02-24T20:54:54"/>
    <m/>
    <x v="0"/>
    <s v=""/>
  </r>
  <r>
    <x v="10"/>
    <x v="4"/>
    <s v="Up"/>
    <x v="3"/>
    <n v="602"/>
    <s v="Rio Magdalena"/>
    <x v="5"/>
    <x v="3"/>
    <x v="0"/>
    <n v="592"/>
    <s v="Rio Magdalena"/>
    <x v="3"/>
    <x v="3"/>
    <x v="7"/>
    <x v="3"/>
    <x v="2"/>
    <d v="2022-02-24T18:00:00"/>
    <d v="2022-02-24T20:54:54"/>
    <m/>
    <x v="3"/>
    <n v="1"/>
  </r>
  <r>
    <x v="11"/>
    <x v="4"/>
    <s v="Up"/>
    <x v="4"/>
    <n v="505"/>
    <s v="Rio Magdalena"/>
    <x v="0"/>
    <x v="4"/>
    <x v="0"/>
    <s v=""/>
    <s v="Rio Magdalena"/>
    <x v="3"/>
    <x v="4"/>
    <x v="8"/>
    <x v="0"/>
    <x v="3"/>
    <d v="2022-02-24T18:00:00"/>
    <d v="2022-02-24T20:54:54"/>
    <m/>
    <x v="0"/>
    <s v=""/>
  </r>
  <r>
    <x v="12"/>
    <x v="2"/>
    <s v=""/>
    <x v="0"/>
    <s v="COFIBA"/>
    <s v="Rio Magdalena"/>
    <x v="2"/>
    <x v="0"/>
    <x v="0"/>
    <s v=""/>
    <s v=""/>
    <x v="0"/>
    <x v="0"/>
    <x v="3"/>
    <x v="0"/>
    <x v="0"/>
    <d v="2022-02-24T18:00:00"/>
    <d v="2022-02-24T20:54:54"/>
    <m/>
    <x v="0"/>
    <s v=""/>
  </r>
  <r>
    <x v="13"/>
    <x v="0"/>
    <s v=""/>
    <x v="0"/>
    <n v="432"/>
    <s v="Rio Magdalena"/>
    <x v="7"/>
    <x v="0"/>
    <x v="0"/>
    <s v=""/>
    <s v=""/>
    <x v="0"/>
    <x v="0"/>
    <x v="0"/>
    <x v="0"/>
    <x v="0"/>
    <d v="2022-02-24T18:00:00"/>
    <d v="2022-02-24T20:54:54"/>
    <m/>
    <x v="0"/>
    <s v=""/>
  </r>
  <r>
    <x v="14"/>
    <x v="2"/>
    <s v=""/>
    <x v="0"/>
    <s v="COFIBA"/>
    <s v="Rio Magdalena"/>
    <x v="2"/>
    <x v="0"/>
    <x v="0"/>
    <s v=""/>
    <s v=""/>
    <x v="0"/>
    <x v="0"/>
    <x v="3"/>
    <x v="0"/>
    <x v="0"/>
    <d v="2022-02-24T18:00:00"/>
    <d v="2022-02-24T20:54:54"/>
    <m/>
    <x v="0"/>
    <s v=""/>
  </r>
  <r>
    <x v="15"/>
    <x v="0"/>
    <s v=""/>
    <x v="0"/>
    <n v="432"/>
    <s v="Rio Magdalena"/>
    <x v="6"/>
    <x v="0"/>
    <x v="0"/>
    <s v=""/>
    <s v=""/>
    <x v="0"/>
    <x v="0"/>
    <x v="0"/>
    <x v="0"/>
    <x v="0"/>
    <d v="2022-02-24T18:00:00"/>
    <d v="2022-02-24T20:54:54"/>
    <m/>
    <x v="0"/>
    <s v=""/>
  </r>
  <r>
    <x v="16"/>
    <x v="0"/>
    <s v=""/>
    <x v="0"/>
    <s v="Mardique"/>
    <s v="Canal del Dique"/>
    <x v="6"/>
    <x v="0"/>
    <x v="0"/>
    <s v=""/>
    <s v=""/>
    <x v="0"/>
    <x v="0"/>
    <x v="9"/>
    <x v="0"/>
    <x v="0"/>
    <d v="2022-02-24T18:00:00"/>
    <d v="2022-02-24T20:54:54"/>
    <m/>
    <x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61" applyNumberFormats="0" applyBorderFormats="0" applyFontFormats="0" applyPatternFormats="0" applyAlignmentFormats="0" applyWidthHeightFormats="1" dataCaption="Valores" grandTotalCaption="Total remolcadores=&gt;" updatedVersion="6" minRefreshableVersion="3" showDrill="0" pageWrap="2" rowGrandTotals="0" itemPrintTitles="1" mergeItem="1" createdVersion="4" indent="0" compact="0" compactData="0" multipleFieldFilters="0" rowHeaderCaption="Tramo">
  <location ref="A27:K66" firstHeaderRow="1" firstDataRow="1" firstDataCol="11"/>
  <pivotFields count="21">
    <pivotField axis="axisRow" compact="0" outline="0" showAll="0" defaultSubtotal="0">
      <items count="19">
        <item x="0"/>
        <item x="13"/>
        <item x="8"/>
        <item x="4"/>
        <item x="11"/>
        <item x="12"/>
        <item x="6"/>
        <item x="5"/>
        <item x="3"/>
        <item x="14"/>
        <item x="9"/>
        <item x="7"/>
        <item x="1"/>
        <item x="2"/>
        <item x="10"/>
        <item x="15"/>
        <item x="16"/>
        <item m="1" x="18"/>
        <item m="1" x="17"/>
      </items>
    </pivotField>
    <pivotField axis="axisRow" compact="0" subtotalTop="0" showAll="0" nonAutoSortDefault="1" defaultSubtotal="0">
      <items count="10">
        <item x="4"/>
        <item x="0"/>
        <item x="1"/>
        <item x="3"/>
        <item x="2"/>
        <item m="1" x="5"/>
        <item m="1" x="9"/>
        <item m="1" x="8"/>
        <item m="1" x="7"/>
        <item m="1" x="6"/>
      </items>
    </pivotField>
    <pivotField compact="0" outline="0" showAll="0" defaultSubtotal="0"/>
    <pivotField axis="axisRow" compact="0" outline="0" showAll="0" defaultSubtotal="0">
      <items count="697">
        <item x="0"/>
        <item m="1" x="535"/>
        <item m="1" x="533"/>
        <item m="1" x="554"/>
        <item m="1" x="500"/>
        <item m="1" x="641"/>
        <item m="1" x="5"/>
        <item m="1" x="627"/>
        <item m="1" x="361"/>
        <item m="1" x="538"/>
        <item m="1" x="95"/>
        <item m="1" x="186"/>
        <item m="1" x="389"/>
        <item m="1" x="423"/>
        <item m="1" x="564"/>
        <item m="1" x="571"/>
        <item m="1" x="374"/>
        <item m="1" x="20"/>
        <item m="1" x="209"/>
        <item m="1" x="273"/>
        <item m="1" x="692"/>
        <item m="1" x="98"/>
        <item m="1" x="639"/>
        <item m="1" x="549"/>
        <item m="1" x="199"/>
        <item m="1" x="444"/>
        <item m="1" x="249"/>
        <item m="1" x="458"/>
        <item m="1" x="360"/>
        <item m="1" x="51"/>
        <item m="1" x="168"/>
        <item m="1" x="626"/>
        <item m="1" x="537"/>
        <item m="1" x="224"/>
        <item m="1" x="316"/>
        <item m="1" x="642"/>
        <item m="1" x="563"/>
        <item m="1" x="36"/>
        <item m="1" x="126"/>
        <item m="1" x="457"/>
        <item m="1" x="101"/>
        <item m="1" x="373"/>
        <item m="1" x="208"/>
        <item m="1" x="110"/>
        <item m="1" x="349"/>
        <item m="1" x="638"/>
        <item m="1" x="484"/>
        <item m="1" x="677"/>
        <item m="1" x="195"/>
        <item m="1" x="22"/>
        <item m="1" x="548"/>
        <item m="1" x="281"/>
        <item m="1" x="501"/>
        <item m="1" x="198"/>
        <item m="1" x="598"/>
        <item m="1" x="359"/>
        <item m="1" x="625"/>
        <item m="1" x="487"/>
        <item m="1" x="645"/>
        <item m="1" x="147"/>
        <item m="1" x="562"/>
        <item m="1" x="387"/>
        <item m="1" x="68"/>
        <item m="1" x="319"/>
        <item m="1" x="383"/>
        <item m="1" x="241"/>
        <item m="1" x="477"/>
        <item m="1" x="372"/>
        <item m="1" x="404"/>
        <item m="1" x="559"/>
        <item m="1" x="589"/>
        <item m="1" x="412"/>
        <item m="1" x="61"/>
        <item m="1" x="60"/>
        <item m="1" x="575"/>
        <item m="1" x="400"/>
        <item m="1" x="235"/>
        <item m="1" x="114"/>
        <item m="1" x="544"/>
        <item m="1" x="21"/>
        <item m="1" x="285"/>
        <item m="1" x="357"/>
        <item m="1" x="536"/>
        <item m="1" x="47"/>
        <item m="1" x="489"/>
        <item m="1" x="570"/>
        <item m="1" x="395"/>
        <item m="1" x="223"/>
        <item m="1" x="254"/>
        <item m="1" x="415"/>
        <item m="1" x="592"/>
        <item m="1" x="67"/>
        <item m="1" x="43"/>
        <item m="1" x="35"/>
        <item m="1" x="240"/>
        <item m="1" x="217"/>
        <item m="1" x="380"/>
        <item m="1" x="403"/>
        <item m="1" x="27"/>
        <item m="1" x="462"/>
        <item m="1" x="194"/>
        <item m="1" x="232"/>
        <item m="1" x="17"/>
        <item m="1" x="233"/>
        <item m="1" x="496"/>
        <item m="1" x="388"/>
        <item m="1" x="365"/>
        <item m="1" x="518"/>
        <item m="1" x="584"/>
        <item m="1" x="606"/>
        <item m="1" x="456"/>
        <item m="1" x="414"/>
        <item m="1" x="394"/>
        <item m="1" x="591"/>
        <item m="1" x="42"/>
        <item m="1" x="50"/>
        <item m="1" x="66"/>
        <item m="1" x="31"/>
        <item m="1" x="216"/>
        <item m="1" x="239"/>
        <item m="1" x="379"/>
        <item m="1" x="130"/>
        <item m="1" x="371"/>
        <item m="1" x="461"/>
        <item m="1" x="65"/>
        <item m="1" x="637"/>
        <item m="1" x="547"/>
        <item m="1" x="238"/>
        <item m="1" x="443"/>
        <item m="1" x="624"/>
        <item m="1" x="266"/>
        <item m="1" x="264"/>
        <item m="1" x="92"/>
        <item m="1" x="429"/>
        <item m="1" x="318"/>
        <item m="1" x="34"/>
        <item m="1" x="660"/>
        <item m="1" x="370"/>
        <item m="1" x="302"/>
        <item m="1" x="152"/>
        <item m="1" x="605"/>
        <item m="1" x="151"/>
        <item m="1" x="325"/>
        <item m="1" x="46"/>
        <item m="1" x="222"/>
        <item m="1" x="141"/>
        <item m="1" x="385"/>
        <item m="1" x="317"/>
        <item m="1" x="63"/>
        <item m="1" x="237"/>
        <item m="1" x="211"/>
        <item m="1" x="78"/>
        <item m="1" x="80"/>
        <item m="1" x="64"/>
        <item m="1" x="328"/>
        <item m="1" x="604"/>
        <item m="1" x="45"/>
        <item m="1" x="81"/>
        <item m="1" x="221"/>
        <item m="1" x="384"/>
        <item m="1" x="561"/>
        <item m="1" x="671"/>
        <item m="1" x="603"/>
        <item m="1" x="252"/>
        <item m="1" x="426"/>
        <item m="1" x="77"/>
        <item m="1" x="293"/>
        <item m="1" x="455"/>
        <item m="1" x="253"/>
        <item m="1" x="586"/>
        <item m="1" x="413"/>
        <item m="1" x="494"/>
        <item m="1" x="676"/>
        <item m="1" x="590"/>
        <item m="1" x="551"/>
        <item m="1" x="509"/>
        <item m="1" x="657"/>
        <item m="1" x="62"/>
        <item m="1" x="401"/>
        <item m="1" x="236"/>
        <item m="1" x="430"/>
        <item m="1" x="89"/>
        <item m="1" x="262"/>
        <item m="1" x="49"/>
        <item m="1" x="669"/>
        <item m="1" x="263"/>
        <item m="1" x="577"/>
        <item m="1" x="601"/>
        <item m="1" x="425"/>
        <item m="1" x="560"/>
        <item m="1" x="76"/>
        <item m="1" x="410"/>
        <item m="1" x="250"/>
        <item m="1" x="156"/>
        <item m="1" x="585"/>
        <item m="1" x="498"/>
        <item m="1" x="332"/>
        <item m="1" x="176"/>
        <item m="1" x="59"/>
        <item m="1" x="679"/>
        <item m="1" x="231"/>
        <item m="1" x="398"/>
        <item m="1" x="278"/>
        <item m="1" x="619"/>
        <item m="1" x="440"/>
        <item m="1" x="622"/>
        <item m="1" x="107"/>
        <item m="1" x="234"/>
        <item m="1" x="315"/>
        <item m="1" x="314"/>
        <item m="1" x="576"/>
        <item m="1" x="668"/>
        <item m="1" x="219"/>
        <item m="1" x="291"/>
        <item m="1" x="608"/>
        <item m="1" x="162"/>
        <item m="1" x="155"/>
        <item m="1" x="681"/>
        <item m="1" x="418"/>
        <item m="1" x="695"/>
        <item m="1" x="594"/>
        <item m="1" x="72"/>
        <item m="1" x="245"/>
        <item m="1" x="94"/>
        <item m="1" x="616"/>
        <item m="1" x="106"/>
        <item m="1" x="276"/>
        <item m="1" x="618"/>
        <item m="1" x="277"/>
        <item m="1" x="437"/>
        <item m="1" x="439"/>
        <item m="1" x="621"/>
        <item m="1" x="488"/>
        <item m="1" x="218"/>
        <item m="1" x="44"/>
        <item m="1" x="294"/>
        <item m="1" x="503"/>
        <item m="1" x="672"/>
        <item m="1" x="161"/>
        <item m="1" x="422"/>
        <item m="1" x="600"/>
        <item m="1" x="280"/>
        <item m="1" x="442"/>
        <item m="1" x="416"/>
        <item m="1" x="593"/>
        <item m="1" x="578"/>
        <item m="1" x="52"/>
        <item m="1" x="91"/>
        <item m="1" x="428"/>
        <item m="1" x="69"/>
        <item m="1" x="265"/>
        <item m="1" x="242"/>
        <item m="1" x="396"/>
        <item m="1" x="230"/>
        <item m="1" x="148"/>
        <item m="1" x="573"/>
        <item m="1" x="86"/>
        <item m="1" x="438"/>
        <item m="1" x="667"/>
        <item m="1" x="313"/>
        <item m="1" x="137"/>
        <item m="1" x="470"/>
        <item m="1" x="472"/>
        <item m="1" x="311"/>
        <item m="1" x="652"/>
        <item m="1" x="655"/>
        <item m="1" x="120"/>
        <item m="1" x="123"/>
        <item m="1" x="288"/>
        <item m="1" x="504"/>
        <item m="1" x="634"/>
        <item m="1" x="289"/>
        <item m="1" x="154"/>
        <item m="1" x="58"/>
        <item m="1" x="331"/>
        <item m="1" x="409"/>
        <item m="1" x="497"/>
        <item m="1" x="678"/>
        <item m="1" x="386"/>
        <item m="1" x="635"/>
        <item m="1" x="104"/>
        <item m="1" x="103"/>
        <item m="1" x="587"/>
        <item m="1" x="109"/>
        <item m="1" x="482"/>
        <item m="1" x="324"/>
        <item m="1" x="666"/>
        <item m="1" x="468"/>
        <item m="1" x="136"/>
        <item m="1" x="279"/>
        <item m="1" x="312"/>
        <item m="1" x="651"/>
        <item m="1" x="471"/>
        <item m="1" x="654"/>
        <item m="1" x="499"/>
        <item m="1" x="427"/>
        <item m="1" x="122"/>
        <item m="1" x="129"/>
        <item m="1" x="79"/>
        <item m="1" x="153"/>
        <item m="1" x="411"/>
        <item m="1" x="452"/>
        <item m="1" x="102"/>
        <item m="1" x="274"/>
        <item m="1" x="323"/>
        <item m="1" x="572"/>
        <item m="1" x="480"/>
        <item m="1" x="664"/>
        <item m="1" x="481"/>
        <item m="1" x="134"/>
        <item m="1" x="467"/>
        <item m="1" x="310"/>
        <item m="1" x="85"/>
        <item m="1" x="259"/>
        <item m="1" x="687"/>
        <item m="1" x="623"/>
        <item m="1" x="421"/>
        <item m="1" x="334"/>
        <item m="1" x="599"/>
        <item m="1" x="469"/>
        <item m="1" x="649"/>
        <item m="1" x="117"/>
        <item m="1" x="450"/>
        <item m="1" x="287"/>
        <item m="1" x="119"/>
        <item m="1" x="321"/>
        <item m="1" x="675"/>
        <item m="1" x="451"/>
        <item m="1" x="143"/>
        <item m="1" x="144"/>
        <item m="1" x="272"/>
        <item m="1" x="435"/>
        <item m="1" x="172"/>
        <item m="1" x="615"/>
        <item m="1" x="515"/>
        <item m="1" x="341"/>
        <item m="1" x="84"/>
        <item m="1" x="306"/>
        <item m="1" x="665"/>
        <item m="1" x="133"/>
        <item m="1" x="465"/>
        <item m="1" x="308"/>
        <item m="1" x="648"/>
        <item m="1" x="116"/>
        <item m="1" x="118"/>
        <item m="1" x="650"/>
        <item m="1" x="327"/>
        <item m="1" x="491"/>
        <item m="1" x="286"/>
        <item m="1" x="492"/>
        <item m="1" x="632"/>
        <item m="1" x="260"/>
        <item m="1" x="271"/>
        <item m="1" x="614"/>
        <item m="1" x="171"/>
        <item m="1" x="694"/>
        <item m="1" x="108"/>
        <item m="1" x="479"/>
        <item m="1" x="322"/>
        <item m="1" x="507"/>
        <item m="1" x="441"/>
        <item m="1" x="663"/>
        <item m="1" x="464"/>
        <item m="1" x="132"/>
        <item m="1" x="304"/>
        <item m="1" x="466"/>
        <item m="1" x="647"/>
        <item m="1" x="307"/>
        <item m="1" x="115"/>
        <item m="1" x="424"/>
        <item m="1" x="588"/>
        <item m="1" x="602"/>
        <item m="1" x="292"/>
        <item m="1" x="517"/>
        <item m="1" x="680"/>
        <item m="1" x="125"/>
        <item m="1" x="343"/>
        <item m="1" x="454"/>
        <item m="1" x="142"/>
        <item m="1" x="674"/>
        <item m="1" x="478"/>
        <item m="1" x="303"/>
        <item m="1" x="320"/>
        <item m="1" x="661"/>
        <item m="1" x="662"/>
        <item m="1" x="131"/>
        <item m="1" x="463"/>
        <item m="1" x="305"/>
        <item m="1" x="524"/>
        <item m="1" x="620"/>
        <item m="1" x="261"/>
        <item m="1" x="87"/>
        <item m="1" x="449"/>
        <item m="1" x="473"/>
        <item m="1" x="531"/>
        <item m="1" x="182"/>
        <item m="1" x="284"/>
        <item m="1" x="656"/>
        <item m="1" x="342"/>
        <item m="1" x="124"/>
        <item m="1" x="149"/>
        <item m="1" x="173"/>
        <item m="1" x="490"/>
        <item m="1" x="290"/>
        <item m="1" x="453"/>
        <item m="1" x="105"/>
        <item m="1" x="688"/>
        <item m="1" x="636"/>
        <item m="1" x="163"/>
        <item m="1" x="275"/>
        <item m="1" x="335"/>
        <item m="1" x="121"/>
        <item m="1" x="505"/>
        <item m="1" x="436"/>
        <item m="1" x="513"/>
        <item m="1" x="683"/>
        <item m="1" x="617"/>
        <item m="1" x="185"/>
        <item m="1" x="135"/>
        <item m="1" x="483"/>
        <item m="1" x="16"/>
        <item m="1" x="546"/>
        <item m="1" x="356"/>
        <item m="1" x="145"/>
        <item m="1" x="270"/>
        <item m="1" x="193"/>
        <item m="1" x="434"/>
        <item m="1" x="613"/>
        <item m="1" x="9"/>
        <item m="1" x="532"/>
        <item m="1" x="157"/>
        <item m="1" x="350"/>
        <item m="1" x="183"/>
        <item m="1" x="522"/>
        <item m="1" x="283"/>
        <item m="1" x="32"/>
        <item m="1" x="206"/>
        <item m="1" x="448"/>
        <item m="1" x="631"/>
        <item m="1" x="659"/>
        <item m="1" x="100"/>
        <item m="1" x="15"/>
        <item m="1" x="545"/>
        <item m="1" x="192"/>
        <item m="1" x="368"/>
        <item m="1" x="30"/>
        <item m="1" x="174"/>
        <item m="1" x="682"/>
        <item m="1" x="205"/>
        <item m="1" x="530"/>
        <item m="1" x="70"/>
        <item m="1" x="243"/>
        <item m="1" x="181"/>
        <item m="1" x="459"/>
        <item m="1" x="382"/>
        <item m="1" x="29"/>
        <item m="1" x="595"/>
        <item m="1" x="246"/>
        <item m="1" x="73"/>
        <item m="1" x="405"/>
        <item m="1" x="406"/>
        <item m="1" x="33"/>
        <item m="1" x="607"/>
        <item m="1" x="543"/>
        <item m="1" x="367"/>
        <item m="1" x="358"/>
        <item m="1" x="381"/>
        <item m="1" x="14"/>
        <item m="1" x="630"/>
        <item m="1" x="355"/>
        <item m="1" x="191"/>
        <item m="1" x="529"/>
        <item m="1" x="612"/>
        <item m="1" x="433"/>
        <item m="1" x="128"/>
        <item m="1" x="41"/>
        <item m="1" x="215"/>
        <item m="1" x="299"/>
        <item m="1" x="644"/>
        <item m="1" x="113"/>
        <item m="1" x="558"/>
        <item m="1" x="28"/>
        <item m="1" x="204"/>
        <item m="1" x="366"/>
        <item m="1" x="629"/>
        <item m="1" x="446"/>
        <item m="1" x="300"/>
        <item m="1" x="542"/>
        <item m="1" x="190"/>
        <item m="1" x="99"/>
        <item m="1" x="13"/>
        <item m="1" x="269"/>
        <item m="1" x="353"/>
        <item m="1" x="527"/>
        <item m="1" x="610"/>
        <item m="1" x="40"/>
        <item m="1" x="378"/>
        <item m="1" x="298"/>
        <item m="1" x="214"/>
        <item m="1" x="643"/>
        <item m="1" x="112"/>
        <item m="1" x="557"/>
        <item m="1" x="93"/>
        <item m="1" x="26"/>
        <item m="1" x="203"/>
        <item m="1" x="445"/>
        <item m="1" x="541"/>
        <item m="1" x="96"/>
        <item m="1" x="364"/>
        <item m="1" x="11"/>
        <item m="1" x="476"/>
        <item m="1" x="393"/>
        <item m="1" x="188"/>
        <item m="1" x="658"/>
        <item m="1" x="569"/>
        <item m="1" x="39"/>
        <item m="1" x="213"/>
        <item m="1" x="377"/>
        <item m="1" x="555"/>
        <item m="1" x="297"/>
        <item m="1" x="19"/>
        <item m="1" x="653"/>
        <item m="1" x="202"/>
        <item m="1" x="197"/>
        <item m="1" x="25"/>
        <item m="1" x="282"/>
        <item m="1" x="363"/>
        <item m="1" x="628"/>
        <item m="1" x="540"/>
        <item m="1" x="56"/>
        <item m="1" x="140"/>
        <item m="1" x="567"/>
        <item m="1" x="38"/>
        <item m="1" x="646"/>
        <item m="1" x="301"/>
        <item m="1" x="376"/>
        <item m="1" x="212"/>
        <item m="1" x="640"/>
        <item m="1" x="296"/>
        <item m="1" x="534"/>
        <item m="1" x="111"/>
        <item m="1" x="553"/>
        <item m="1" x="158"/>
        <item m="1" x="24"/>
        <item m="1" x="201"/>
        <item m="1" x="362"/>
        <item m="1" x="139"/>
        <item m="1" x="330"/>
        <item m="1" x="539"/>
        <item m="1" x="391"/>
        <item m="1" x="54"/>
        <item m="1" x="227"/>
        <item m="1" x="475"/>
        <item m="1" x="336"/>
        <item m="1" x="689"/>
        <item m="1" x="566"/>
        <item m="1" x="127"/>
        <item m="1" x="344"/>
        <item m="1" x="696"/>
        <item m="1" x="23"/>
        <item m="1" x="552"/>
        <item m="1" x="200"/>
        <item m="1" x="407"/>
        <item m="1" x="486"/>
        <item m="1" x="138"/>
        <item m="1" x="670"/>
        <item m="1" x="580"/>
        <item m="1" x="53"/>
        <item m="1" x="226"/>
        <item m="1" x="37"/>
        <item m="1" x="565"/>
        <item m="1" x="390"/>
        <item m="1" x="474"/>
        <item m="1" x="295"/>
        <item m="1" x="210"/>
        <item m="1" x="71"/>
        <item m="1" x="18"/>
        <item m="1" x="550"/>
        <item m="1" x="375"/>
        <item m="1" x="369"/>
        <item m="1" x="196"/>
        <item m="1" x="150"/>
        <item m="1" x="326"/>
        <item m="1" x="399"/>
        <item m="1" x="175"/>
        <item m="1" x="574"/>
        <item m="1" x="516"/>
        <item m="1" x="244"/>
        <item m="1" x="485"/>
        <item m="1" x="170"/>
        <item m="1" x="521"/>
        <item m="1" x="146"/>
        <item m="1" x="225"/>
        <item m="1" x="493"/>
        <item m="1" x="693"/>
        <item m="1" x="523"/>
        <item m="1" x="184"/>
        <item m="1" x="340"/>
        <item m="1" x="402"/>
        <item m="1" x="514"/>
        <item m="1" x="57"/>
        <item m="1" x="685"/>
        <item m="1" x="229"/>
        <item m="1" x="392"/>
        <item m="1" x="160"/>
        <item m="1" x="568"/>
        <item m="1" x="333"/>
        <item m="1" x="502"/>
        <item m="1" x="90"/>
        <item m="1" x="8"/>
        <item m="1" x="258"/>
        <item m="1" x="180"/>
        <item m="1" x="348"/>
        <item m="1" x="597"/>
        <item m="1" x="520"/>
        <item m="1" x="460"/>
        <item m="1" x="397"/>
        <item m="1" x="207"/>
        <item m="1" x="88"/>
        <item m="1" x="169"/>
        <item m="1" x="508"/>
        <item m="1" x="329"/>
        <item m="1" x="691"/>
        <item m="1" x="673"/>
        <item m="1" x="495"/>
        <item m="1" x="506"/>
        <item m="1" x="351"/>
        <item m="1" x="167"/>
        <item m="1" x="583"/>
        <item m="1" x="339"/>
        <item m="1" x="512"/>
        <item m="1" x="684"/>
        <item m="1" x="55"/>
        <item m="1" x="432"/>
        <item m="1" x="228"/>
        <item m="1" x="354"/>
        <item m="1" x="611"/>
        <item m="1" x="159"/>
        <item m="1" x="7"/>
        <item m="1" x="528"/>
        <item m="1" x="257"/>
        <item m="1" x="179"/>
        <item m="1" x="420"/>
        <item m="1" x="347"/>
        <item m="1" x="519"/>
        <item m="1" x="447"/>
        <item m="1" x="248"/>
        <item m="1" x="75"/>
        <item m="1" x="166"/>
        <item m="1" x="690"/>
        <item m="1" x="338"/>
        <item m="1" x="408"/>
        <item m="1" x="511"/>
        <item m="1" x="581"/>
        <item m="1" x="97"/>
        <item m="1" x="12"/>
        <item m="1" x="609"/>
        <item m="1" x="268"/>
        <item m="1" x="526"/>
        <item m="1" x="189"/>
        <item m="1" x="83"/>
        <item m="1" x="256"/>
        <item m="1" x="419"/>
        <item m="1" x="178"/>
        <item m="1" x="596"/>
        <item m="1" x="48"/>
        <item m="1" x="686"/>
        <item m="1" x="74"/>
        <item m="1" x="346"/>
        <item m="1" x="251"/>
        <item m="1" x="220"/>
        <item m="1" x="165"/>
        <item m="1" x="337"/>
        <item m="1" x="247"/>
        <item m="1" x="579"/>
        <item m="1" x="510"/>
        <item m="1" x="10"/>
        <item m="1" x="582"/>
        <item m="1" x="267"/>
        <item m="1" x="352"/>
        <item m="1" x="187"/>
        <item m="1" x="431"/>
        <item m="1" x="633"/>
        <item m="1" x="82"/>
        <item m="1" x="525"/>
        <item m="1" x="255"/>
        <item m="1" x="6"/>
        <item m="1" x="556"/>
        <item m="1" x="417"/>
        <item m="1" x="309"/>
        <item m="1" x="177"/>
        <item x="3"/>
        <item x="1"/>
        <item m="1" x="345"/>
        <item m="1" x="164"/>
        <item x="2"/>
        <item x="4"/>
      </items>
    </pivotField>
    <pivotField compact="0" outline="0" showAll="0" defaultSubtotal="0"/>
    <pivotField compact="0" outline="0" showAll="0" defaultSubtotal="0"/>
    <pivotField name="Operación/Novedad" axis="axisRow" subtotalTop="0" showAll="0" defaultSubtotal="0">
      <items count="569">
        <item m="1" x="334"/>
        <item x="1"/>
        <item m="1" x="107"/>
        <item m="1" x="46"/>
        <item m="1" x="306"/>
        <item m="1" x="179"/>
        <item m="1" x="455"/>
        <item m="1" x="165"/>
        <item x="5"/>
        <item m="1" x="478"/>
        <item m="1" x="10"/>
        <item m="1" x="8"/>
        <item m="1" x="249"/>
        <item x="7"/>
        <item m="1" x="219"/>
        <item m="1" x="214"/>
        <item m="1" x="369"/>
        <item m="1" x="419"/>
        <item m="1" x="304"/>
        <item m="1" x="323"/>
        <item m="1" x="479"/>
        <item m="1" x="535"/>
        <item m="1" x="485"/>
        <item m="1" x="342"/>
        <item m="1" x="27"/>
        <item m="1" x="200"/>
        <item m="1" x="157"/>
        <item m="1" x="206"/>
        <item m="1" x="515"/>
        <item m="1" x="308"/>
        <item m="1" x="149"/>
        <item m="1" x="143"/>
        <item m="1" x="45"/>
        <item m="1" x="125"/>
        <item m="1" x="489"/>
        <item m="1" x="471"/>
        <item m="1" x="220"/>
        <item m="1" x="417"/>
        <item m="1" x="57"/>
        <item x="4"/>
        <item m="1" x="559"/>
        <item m="1" x="80"/>
        <item m="1" x="502"/>
        <item m="1" x="442"/>
        <item m="1" x="426"/>
        <item m="1" x="115"/>
        <item m="1" x="66"/>
        <item m="1" x="359"/>
        <item m="1" x="335"/>
        <item m="1" x="430"/>
        <item m="1" x="560"/>
        <item m="1" x="339"/>
        <item x="6"/>
        <item m="1" x="286"/>
        <item m="1" x="79"/>
        <item m="1" x="499"/>
        <item m="1" x="77"/>
        <item m="1" x="549"/>
        <item m="1" x="123"/>
        <item m="1" x="64"/>
        <item m="1" x="360"/>
        <item m="1" x="12"/>
        <item m="1" x="72"/>
        <item m="1" x="142"/>
        <item m="1" x="242"/>
        <item m="1" x="13"/>
        <item m="1" x="141"/>
        <item m="1" x="163"/>
        <item m="1" x="517"/>
        <item m="1" x="337"/>
        <item m="1" x="554"/>
        <item m="1" x="433"/>
        <item m="1" x="387"/>
        <item m="1" x="132"/>
        <item m="1" x="59"/>
        <item m="1" x="459"/>
        <item m="1" x="121"/>
        <item m="1" x="20"/>
        <item x="0"/>
        <item m="1" x="153"/>
        <item m="1" x="289"/>
        <item m="1" x="144"/>
        <item m="1" x="133"/>
        <item m="1" x="358"/>
        <item m="1" x="87"/>
        <item m="1" x="550"/>
        <item m="1" x="347"/>
        <item m="1" x="413"/>
        <item m="1" x="372"/>
        <item m="1" x="473"/>
        <item m="1" x="338"/>
        <item m="1" x="557"/>
        <item m="1" x="333"/>
        <item m="1" x="391"/>
        <item m="1" x="265"/>
        <item m="1" x="262"/>
        <item m="1" x="196"/>
        <item m="1" x="492"/>
        <item m="1" x="425"/>
        <item m="1" x="400"/>
        <item m="1" x="567"/>
        <item m="1" x="69"/>
        <item m="1" x="561"/>
        <item m="1" x="159"/>
        <item m="1" x="324"/>
        <item m="1" x="161"/>
        <item m="1" x="454"/>
        <item m="1" x="498"/>
        <item m="1" x="351"/>
        <item m="1" x="296"/>
        <item m="1" x="546"/>
        <item m="1" x="313"/>
        <item m="1" x="145"/>
        <item m="1" x="421"/>
        <item m="1" x="129"/>
        <item m="1" x="41"/>
        <item m="1" x="293"/>
        <item m="1" x="241"/>
        <item m="1" x="424"/>
        <item m="1" x="527"/>
        <item m="1" x="540"/>
        <item m="1" x="238"/>
        <item m="1" x="376"/>
        <item m="1" x="49"/>
        <item m="1" x="218"/>
        <item m="1" x="403"/>
        <item m="1" x="414"/>
        <item m="1" x="184"/>
        <item m="1" x="227"/>
        <item m="1" x="233"/>
        <item x="2"/>
        <item m="1" x="523"/>
        <item m="1" x="195"/>
        <item m="1" x="303"/>
        <item m="1" x="128"/>
        <item m="1" x="217"/>
        <item m="1" x="482"/>
        <item m="1" x="332"/>
        <item m="1" x="432"/>
        <item m="1" x="402"/>
        <item m="1" x="457"/>
        <item m="1" x="78"/>
        <item m="1" x="168"/>
        <item m="1" x="488"/>
        <item m="1" x="307"/>
        <item m="1" x="32"/>
        <item m="1" x="70"/>
        <item m="1" x="310"/>
        <item m="1" x="202"/>
        <item m="1" x="291"/>
        <item m="1" x="447"/>
        <item m="1" x="564"/>
        <item m="1" x="377"/>
        <item m="1" x="188"/>
        <item m="1" x="155"/>
        <item m="1" x="98"/>
        <item m="1" x="198"/>
        <item m="1" x="136"/>
        <item m="1" x="378"/>
        <item m="1" x="211"/>
        <item m="1" x="287"/>
        <item m="1" x="292"/>
        <item m="1" x="398"/>
        <item m="1" x="350"/>
        <item m="1" x="322"/>
        <item m="1" x="397"/>
        <item m="1" x="562"/>
        <item m="1" x="345"/>
        <item m="1" x="31"/>
        <item m="1" x="437"/>
        <item m="1" x="248"/>
        <item m="1" x="393"/>
        <item m="1" x="33"/>
        <item m="1" x="118"/>
        <item m="1" x="448"/>
        <item m="1" x="466"/>
        <item m="1" x="312"/>
        <item m="1" x="44"/>
        <item m="1" x="83"/>
        <item m="1" x="131"/>
        <item m="1" x="518"/>
        <item m="1" x="147"/>
        <item m="1" x="519"/>
        <item m="1" x="76"/>
        <item m="1" x="384"/>
        <item m="1" x="558"/>
        <item m="1" x="390"/>
        <item m="1" x="94"/>
        <item m="1" x="536"/>
        <item m="1" x="119"/>
        <item x="3"/>
        <item m="1" x="412"/>
        <item m="1" x="279"/>
        <item m="1" x="201"/>
        <item m="1" x="468"/>
        <item m="1" x="114"/>
        <item m="1" x="545"/>
        <item m="1" x="373"/>
        <item m="1" x="96"/>
        <item m="1" x="264"/>
        <item m="1" x="26"/>
        <item m="1" x="134"/>
        <item m="1" x="275"/>
        <item m="1" x="9"/>
        <item m="1" x="328"/>
        <item m="1" x="34"/>
        <item m="1" x="199"/>
        <item m="1" x="551"/>
        <item m="1" x="29"/>
        <item m="1" x="15"/>
        <item m="1" x="65"/>
        <item m="1" x="235"/>
        <item m="1" x="42"/>
        <item m="1" x="183"/>
        <item m="1" x="531"/>
        <item m="1" x="60"/>
        <item m="1" x="226"/>
        <item m="1" x="407"/>
        <item m="1" x="504"/>
        <item m="1" x="349"/>
        <item m="1" x="451"/>
        <item m="1" x="505"/>
        <item m="1" x="321"/>
        <item m="1" x="422"/>
        <item m="1" x="399"/>
        <item m="1" x="508"/>
        <item m="1" x="395"/>
        <item m="1" x="319"/>
        <item m="1" x="368"/>
        <item m="1" x="361"/>
        <item m="1" x="314"/>
        <item m="1" x="383"/>
        <item m="1" x="63"/>
        <item m="1" x="193"/>
        <item m="1" x="282"/>
        <item m="1" x="409"/>
        <item m="1" x="541"/>
        <item m="1" x="68"/>
        <item m="1" x="97"/>
        <item m="1" x="189"/>
        <item m="1" x="95"/>
        <item m="1" x="61"/>
        <item m="1" x="180"/>
        <item m="1" x="192"/>
        <item m="1" x="277"/>
        <item m="1" x="382"/>
        <item m="1" x="389"/>
        <item m="1" x="553"/>
        <item m="1" x="152"/>
        <item m="1" x="461"/>
        <item m="1" x="526"/>
        <item m="1" x="82"/>
        <item m="1" x="257"/>
        <item m="1" x="343"/>
        <item m="1" x="509"/>
        <item m="1" x="316"/>
        <item m="1" x="209"/>
        <item m="1" x="452"/>
        <item m="1" x="465"/>
        <item m="1" x="416"/>
        <item m="1" x="281"/>
        <item m="1" x="533"/>
        <item m="1" x="154"/>
        <item m="1" x="429"/>
        <item m="1" x="477"/>
        <item m="1" x="204"/>
        <item m="1" x="146"/>
        <item m="1" x="318"/>
        <item m="1" x="51"/>
        <item m="1" x="411"/>
        <item m="1" x="239"/>
        <item m="1" x="259"/>
        <item m="1" x="565"/>
        <item m="1" x="464"/>
        <item m="1" x="521"/>
        <item m="1" x="374"/>
        <item m="1" x="166"/>
        <item m="1" x="511"/>
        <item m="1" x="431"/>
        <item m="1" x="555"/>
        <item m="1" x="532"/>
        <item m="1" x="124"/>
        <item m="1" x="173"/>
        <item m="1" x="85"/>
        <item m="1" x="415"/>
        <item m="1" x="93"/>
        <item m="1" x="420"/>
        <item m="1" x="244"/>
        <item m="1" x="487"/>
        <item m="1" x="237"/>
        <item m="1" x="19"/>
        <item m="1" x="260"/>
        <item m="1" x="483"/>
        <item m="1" x="273"/>
        <item m="1" x="507"/>
        <item m="1" x="102"/>
        <item m="1" x="346"/>
        <item m="1" x="348"/>
        <item m="1" x="294"/>
        <item m="1" x="552"/>
        <item m="1" x="298"/>
        <item m="1" x="111"/>
        <item m="1" x="548"/>
        <item m="1" x="207"/>
        <item m="1" x="212"/>
        <item m="1" x="469"/>
        <item m="1" x="301"/>
        <item m="1" x="434"/>
        <item m="1" x="330"/>
        <item m="1" x="539"/>
        <item m="1" x="520"/>
        <item m="1" x="547"/>
        <item m="1" x="290"/>
        <item m="1" x="247"/>
        <item m="1" x="101"/>
        <item m="1" x="251"/>
        <item m="1" x="354"/>
        <item m="1" x="470"/>
        <item m="1" x="379"/>
        <item m="1" x="443"/>
        <item m="1" x="191"/>
        <item m="1" x="295"/>
        <item m="1" x="329"/>
        <item m="1" x="496"/>
        <item m="1" x="126"/>
        <item m="1" x="510"/>
        <item m="1" x="252"/>
        <item m="1" x="271"/>
        <item m="1" x="106"/>
        <item m="1" x="512"/>
        <item m="1" x="428"/>
        <item m="1" x="250"/>
        <item m="1" x="170"/>
        <item m="1" x="222"/>
        <item m="1" x="50"/>
        <item m="1" x="315"/>
        <item m="1" x="11"/>
        <item m="1" x="543"/>
        <item m="1" x="481"/>
        <item m="1" x="240"/>
        <item m="1" x="25"/>
        <item m="1" x="404"/>
        <item m="1" x="524"/>
        <item m="1" x="501"/>
        <item m="1" x="544"/>
        <item m="1" x="497"/>
        <item m="1" x="263"/>
        <item m="1" x="530"/>
        <item m="1" x="494"/>
        <item m="1" x="18"/>
        <item m="1" x="243"/>
        <item m="1" x="17"/>
        <item m="1" x="362"/>
        <item m="1" x="190"/>
        <item m="1" x="178"/>
        <item m="1" x="74"/>
        <item m="1" x="285"/>
        <item m="1" x="364"/>
        <item m="1" x="522"/>
        <item m="1" x="186"/>
        <item m="1" x="408"/>
        <item m="1" x="495"/>
        <item m="1" x="331"/>
        <item m="1" x="185"/>
        <item m="1" x="181"/>
        <item m="1" x="537"/>
        <item m="1" x="516"/>
        <item m="1" x="388"/>
        <item m="1" x="89"/>
        <item m="1" x="40"/>
        <item m="1" x="394"/>
        <item m="1" x="418"/>
        <item m="1" x="270"/>
        <item m="1" x="363"/>
        <item m="1" x="386"/>
        <item m="1" x="84"/>
        <item m="1" x="90"/>
        <item m="1" x="255"/>
        <item m="1" x="317"/>
        <item m="1" x="234"/>
        <item m="1" x="109"/>
        <item m="1" x="445"/>
        <item m="1" x="300"/>
        <item m="1" x="486"/>
        <item m="1" x="500"/>
        <item m="1" x="150"/>
        <item m="1" x="99"/>
        <item m="1" x="438"/>
        <item m="1" x="127"/>
        <item m="1" x="380"/>
        <item m="1" x="472"/>
        <item m="1" x="325"/>
        <item m="1" x="336"/>
        <item m="1" x="453"/>
        <item m="1" x="450"/>
        <item m="1" x="513"/>
        <item m="1" x="406"/>
        <item m="1" x="381"/>
        <item m="1" x="506"/>
        <item m="1" x="135"/>
        <item m="1" x="130"/>
        <item m="1" x="365"/>
        <item m="1" x="35"/>
        <item m="1" x="162"/>
        <item m="1" x="120"/>
        <item m="1" x="104"/>
        <item m="1" x="167"/>
        <item m="1" x="194"/>
        <item m="1" x="86"/>
        <item m="1" x="375"/>
        <item m="1" x="110"/>
        <item m="1" x="367"/>
        <item m="1" x="137"/>
        <item m="1" x="113"/>
        <item m="1" x="176"/>
        <item m="1" x="92"/>
        <item m="1" x="174"/>
        <item m="1" x="112"/>
        <item m="1" x="38"/>
        <item m="1" x="503"/>
        <item m="1" x="436"/>
        <item m="1" x="48"/>
        <item m="1" x="81"/>
        <item m="1" x="542"/>
        <item m="1" x="16"/>
        <item m="1" x="480"/>
        <item m="1" x="355"/>
        <item m="1" x="280"/>
        <item m="1" x="215"/>
        <item m="1" x="556"/>
        <item m="1" x="456"/>
        <item m="1" x="276"/>
        <item m="1" x="232"/>
        <item m="1" x="52"/>
        <item m="1" x="187"/>
        <item m="1" x="261"/>
        <item m="1" x="53"/>
        <item m="1" x="525"/>
        <item m="1" x="21"/>
        <item m="1" x="474"/>
        <item m="1" x="274"/>
        <item m="1" x="490"/>
        <item m="1" x="288"/>
        <item m="1" x="302"/>
        <item m="1" x="254"/>
        <item m="1" x="205"/>
        <item m="1" x="158"/>
        <item m="1" x="352"/>
        <item m="1" x="366"/>
        <item m="1" x="401"/>
        <item m="1" x="24"/>
        <item m="1" x="105"/>
        <item m="1" x="309"/>
        <item m="1" x="88"/>
        <item m="1" x="327"/>
        <item m="1" x="463"/>
        <item m="1" x="268"/>
        <item m="1" x="357"/>
        <item m="1" x="423"/>
        <item m="1" x="122"/>
        <item m="1" x="491"/>
        <item m="1" x="568"/>
        <item m="1" x="256"/>
        <item m="1" x="160"/>
        <item m="1" x="47"/>
        <item m="1" x="223"/>
        <item m="1" x="320"/>
        <item m="1" x="55"/>
        <item m="1" x="449"/>
        <item m="1" x="156"/>
        <item m="1" x="405"/>
        <item m="1" x="563"/>
        <item m="1" x="28"/>
        <item m="1" x="266"/>
        <item m="1" x="311"/>
        <item m="1" x="164"/>
        <item m="1" x="538"/>
        <item m="1" x="392"/>
        <item m="1" x="299"/>
        <item m="1" x="467"/>
        <item m="1" x="39"/>
        <item m="1" x="169"/>
        <item m="1" x="529"/>
        <item m="1" x="371"/>
        <item m="1" x="460"/>
        <item m="1" x="216"/>
        <item m="1" x="30"/>
        <item m="1" x="493"/>
        <item m="1" x="267"/>
        <item m="1" x="385"/>
        <item m="1" x="356"/>
        <item m="1" x="344"/>
        <item m="1" x="75"/>
        <item m="1" x="140"/>
        <item m="1" x="427"/>
        <item m="1" x="177"/>
        <item m="1" x="138"/>
        <item m="1" x="283"/>
        <item m="1" x="269"/>
        <item m="1" x="353"/>
        <item m="1" x="151"/>
        <item m="1" x="67"/>
        <item m="1" x="175"/>
        <item m="1" x="100"/>
        <item m="1" x="272"/>
        <item m="1" x="208"/>
        <item m="1" x="446"/>
        <item m="1" x="171"/>
        <item m="1" x="435"/>
        <item m="1" x="197"/>
        <item m="1" x="139"/>
        <item m="1" x="37"/>
        <item m="1" x="22"/>
        <item m="1" x="224"/>
        <item m="1" x="246"/>
        <item m="1" x="475"/>
        <item m="1" x="203"/>
        <item m="1" x="210"/>
        <item m="1" x="91"/>
        <item m="1" x="71"/>
        <item m="1" x="341"/>
        <item m="1" x="225"/>
        <item m="1" x="56"/>
        <item m="1" x="534"/>
        <item m="1" x="253"/>
        <item m="1" x="476"/>
        <item m="1" x="444"/>
        <item m="1" x="117"/>
        <item m="1" x="484"/>
        <item m="1" x="340"/>
        <item m="1" x="23"/>
        <item m="1" x="441"/>
        <item m="1" x="229"/>
        <item m="1" x="228"/>
        <item m="1" x="213"/>
        <item m="1" x="284"/>
        <item m="1" x="108"/>
        <item m="1" x="258"/>
        <item m="1" x="36"/>
        <item m="1" x="458"/>
        <item m="1" x="43"/>
        <item m="1" x="514"/>
        <item m="1" x="396"/>
        <item m="1" x="230"/>
        <item m="1" x="528"/>
        <item m="1" x="440"/>
        <item m="1" x="370"/>
        <item m="1" x="326"/>
        <item m="1" x="103"/>
        <item m="1" x="58"/>
        <item m="1" x="231"/>
        <item m="1" x="297"/>
        <item m="1" x="278"/>
        <item m="1" x="54"/>
        <item m="1" x="221"/>
        <item m="1" x="172"/>
        <item m="1" x="73"/>
        <item m="1" x="462"/>
        <item m="1" x="182"/>
        <item m="1" x="236"/>
        <item m="1" x="62"/>
        <item m="1" x="245"/>
        <item m="1" x="566"/>
        <item m="1" x="305"/>
        <item m="1" x="148"/>
        <item m="1" x="14"/>
        <item m="1" x="410"/>
        <item m="1" x="116"/>
        <item m="1" x="439"/>
      </items>
    </pivotField>
    <pivotField name="Convoy" axis="axisRow" outline="0" subtotalTop="0" showAll="0" defaultSubtotal="0">
      <items count="1714">
        <item x="0"/>
        <item m="1" x="1262"/>
        <item m="1" x="1530"/>
        <item m="1" x="371"/>
        <item m="1" x="315"/>
        <item m="1" x="259"/>
        <item m="1" x="1534"/>
        <item m="1" x="661"/>
        <item m="1" x="1005"/>
        <item m="1" x="776"/>
        <item m="1" x="1626"/>
        <item m="1" x="5"/>
        <item m="1" x="716"/>
        <item m="1" x="941"/>
        <item m="1" x="914"/>
        <item m="1" x="679"/>
        <item m="1" x="1340"/>
        <item m="1" x="1684"/>
        <item m="1" x="1324"/>
        <item m="1" x="803"/>
        <item m="1" x="991"/>
        <item m="1" x="1301"/>
        <item m="1" x="204"/>
        <item m="1" x="723"/>
        <item m="1" x="1461"/>
        <item m="1" x="778"/>
        <item m="1" x="1010"/>
        <item m="1" x="84"/>
        <item m="1" x="1705"/>
        <item m="1" x="117"/>
        <item m="1" x="970"/>
        <item m="1" x="141"/>
        <item m="1" x="942"/>
        <item m="1" x="1193"/>
        <item m="1" x="518"/>
        <item m="1" x="1669"/>
        <item m="1" x="1358"/>
        <item m="1" x="591"/>
        <item m="1" x="594"/>
        <item m="1" x="1612"/>
        <item m="1" x="888"/>
        <item m="1" x="956"/>
        <item m="1" x="164"/>
        <item m="1" x="885"/>
        <item m="1" x="736"/>
        <item m="1" x="1332"/>
        <item m="1" x="1656"/>
        <item m="1" x="884"/>
        <item m="1" x="603"/>
        <item m="1" x="1399"/>
        <item m="1" x="553"/>
        <item m="1" x="81"/>
        <item m="1" x="540"/>
        <item m="1" x="291"/>
        <item m="1" x="552"/>
        <item m="1" x="1395"/>
        <item m="1" x="1587"/>
        <item m="1" x="310"/>
        <item m="1" x="1405"/>
        <item m="1" x="1642"/>
        <item sd="0" m="1" x="333"/>
        <item m="1" x="595"/>
        <item m="1" x="1567"/>
        <item m="1" x="664"/>
        <item m="1" x="1045"/>
        <item m="1" x="1173"/>
        <item m="1" x="536"/>
        <item m="1" x="678"/>
        <item m="1" x="1013"/>
        <item m="1" x="1328"/>
        <item m="1" x="1266"/>
        <item m="1" x="821"/>
        <item m="1" x="1114"/>
        <item m="1" x="56"/>
        <item m="1" x="1514"/>
        <item m="1" x="859"/>
        <item m="1" x="181"/>
        <item m="1" x="1350"/>
        <item m="1" x="276"/>
        <item m="1" x="99"/>
        <item m="1" x="1493"/>
        <item m="1" x="1345"/>
        <item m="1" x="1071"/>
        <item m="1" x="246"/>
        <item m="1" x="507"/>
        <item m="1" x="670"/>
        <item m="1" x="1573"/>
        <item m="1" x="987"/>
        <item m="1" x="219"/>
        <item m="1" x="1268"/>
        <item m="1" x="1666"/>
        <item m="1" x="1506"/>
        <item m="1" x="971"/>
        <item m="1" x="1275"/>
        <item m="1" x="439"/>
        <item m="1" x="962"/>
        <item m="1" x="574"/>
        <item m="1" x="640"/>
        <item m="1" x="1513"/>
        <item m="1" x="431"/>
        <item m="1" x="1631"/>
        <item m="1" x="1511"/>
        <item m="1" x="133"/>
        <item m="1" x="529"/>
        <item m="1" x="1134"/>
        <item m="1" x="245"/>
        <item m="1" x="1095"/>
        <item m="1" x="722"/>
        <item m="1" x="187"/>
        <item m="1" x="1052"/>
        <item m="1" x="145"/>
        <item m="1" x="457"/>
        <item m="1" x="1491"/>
        <item m="1" x="414"/>
        <item m="1" x="421"/>
        <item m="1" x="1448"/>
        <item m="1" x="1480"/>
        <item m="1" x="728"/>
        <item m="1" x="328"/>
        <item m="1" x="944"/>
        <item m="1" x="1415"/>
        <item m="1" x="1596"/>
        <item m="1" x="366"/>
        <item m="1" x="882"/>
        <item m="1" x="114"/>
        <item m="1" x="1670"/>
        <item m="1" x="744"/>
        <item m="1" x="534"/>
        <item m="1" x="376"/>
        <item m="1" x="61"/>
        <item m="1" x="1433"/>
        <item m="1" x="1006"/>
        <item m="1" x="71"/>
        <item m="1" x="1072"/>
        <item m="1" x="168"/>
        <item m="1" x="874"/>
        <item m="1" x="64"/>
        <item m="1" x="519"/>
        <item m="1" x="1281"/>
        <item m="1" x="947"/>
        <item m="1" x="1351"/>
        <item m="1" x="12"/>
        <item m="1" x="1042"/>
        <item m="1" x="1033"/>
        <item m="1" x="261"/>
        <item m="1" x="1362"/>
        <item m="1" x="1222"/>
        <item m="1" x="1489"/>
        <item m="1" x="520"/>
        <item m="1" x="811"/>
        <item m="1" x="804"/>
        <item m="1" x="272"/>
        <item m="1" x="1049"/>
        <item m="1" x="1502"/>
        <item m="1" x="1504"/>
        <item m="1" x="434"/>
        <item m="1" x="1236"/>
        <item m="1" x="290"/>
        <item m="1" x="62"/>
        <item m="1" x="1647"/>
        <item m="1" x="14"/>
        <item m="1" x="660"/>
        <item m="1" x="927"/>
        <item m="1" x="1677"/>
        <item m="1" x="1482"/>
        <item m="1" x="309"/>
        <item m="1" x="1131"/>
        <item m="1" x="347"/>
        <item m="1" x="1580"/>
        <item m="1" x="60"/>
        <item sd="0" m="1" x="330"/>
        <item m="1" x="1481"/>
        <item m="1" x="1521"/>
        <item m="1" x="1413"/>
        <item m="1" x="87"/>
        <item m="1" x="1560"/>
        <item m="1" x="1561"/>
        <item m="1" x="1706"/>
        <item m="1" x="1630"/>
        <item m="1" x="1214"/>
        <item m="1" x="365"/>
        <item m="1" x="902"/>
        <item m="1" x="244"/>
        <item m="1" x="894"/>
        <item m="1" x="1110"/>
        <item m="1" x="1509"/>
        <item m="1" x="575"/>
        <item m="1" x="1575"/>
        <item m="1" x="1155"/>
        <item m="1" x="135"/>
        <item m="1" x="1135"/>
        <item m="1" x="193"/>
        <item m="1" x="190"/>
        <item m="1" x="375"/>
        <item m="1" x="1442"/>
        <item m="1" x="871"/>
        <item m="1" x="26"/>
        <item m="1" x="872"/>
        <item m="1" x="1123"/>
        <item m="1" x="1492"/>
        <item m="1" x="474"/>
        <item m="1" x="1359"/>
        <item m="1" x="1499"/>
        <item m="1" x="1058"/>
        <item m="1" x="764"/>
        <item m="1" x="307"/>
        <item m="1" x="1354"/>
        <item m="1" x="711"/>
        <item m="1" x="377"/>
        <item m="1" x="1559"/>
        <item m="1" x="1078"/>
        <item m="1" x="709"/>
        <item m="1" x="665"/>
        <item m="1" x="1554"/>
        <item m="1" x="1486"/>
        <item m="1" x="1286"/>
        <item m="1" x="282"/>
        <item m="1" x="100"/>
        <item m="1" x="977"/>
        <item m="1" x="935"/>
        <item m="1" x="395"/>
        <item m="1" x="303"/>
        <item m="1" x="712"/>
        <item m="1" x="862"/>
        <item m="1" x="1571"/>
        <item m="1" x="1505"/>
        <item m="1" x="357"/>
        <item m="1" x="1178"/>
        <item m="1" x="873"/>
        <item m="1" x="8"/>
        <item m="1" x="1710"/>
        <item m="1" x="625"/>
        <item m="1" x="1367"/>
        <item m="1" x="104"/>
        <item m="1" x="1066"/>
        <item m="1" x="1490"/>
        <item m="1" x="262"/>
        <item m="1" x="379"/>
        <item m="1" x="1187"/>
        <item m="1" x="1355"/>
        <item m="1" x="761"/>
        <item m="1" x="1558"/>
        <item m="1" x="1522"/>
        <item m="1" x="1636"/>
        <item m="1" x="756"/>
        <item m="1" x="1464"/>
        <item m="1" x="1400"/>
        <item m="1" x="226"/>
        <item m="1" x="635"/>
        <item m="1" x="687"/>
        <item m="1" x="910"/>
        <item m="1" x="1569"/>
        <item m="1" x="202"/>
        <item m="1" x="1168"/>
        <item m="1" x="1507"/>
        <item m="1" x="55"/>
        <item m="1" x="485"/>
        <item m="1" x="695"/>
        <item m="1" x="66"/>
        <item m="1" x="841"/>
        <item m="1" x="1338"/>
        <item m="1" x="996"/>
        <item m="1" x="1686"/>
        <item m="1" x="1537"/>
        <item m="1" x="1373"/>
        <item m="1" x="1512"/>
        <item m="1" x="470"/>
        <item m="1" x="1526"/>
        <item m="1" x="555"/>
        <item m="1" x="1556"/>
        <item m="1" x="1242"/>
        <item m="1" x="559"/>
        <item m="1" x="911"/>
        <item m="1" x="1496"/>
        <item m="1" x="692"/>
        <item m="1" x="39"/>
        <item m="1" x="1002"/>
        <item m="1" x="1360"/>
        <item m="1" x="1695"/>
        <item m="1" x="792"/>
        <item m="1" x="667"/>
        <item m="1" x="1488"/>
        <item m="1" x="622"/>
        <item m="1" x="992"/>
        <item m="1" x="580"/>
        <item m="1" x="74"/>
        <item m="1" x="693"/>
        <item m="1" x="212"/>
        <item m="1" x="496"/>
        <item m="1" x="1694"/>
        <item m="1" x="1036"/>
        <item m="1" x="1356"/>
        <item m="1" x="1538"/>
        <item m="1" x="188"/>
        <item m="1" x="1597"/>
        <item m="1" x="1047"/>
        <item m="1" x="1568"/>
        <item m="1" x="1272"/>
        <item m="1" x="1248"/>
        <item m="1" x="808"/>
        <item m="1" x="476"/>
        <item m="1" x="883"/>
        <item m="1" x="1034"/>
        <item m="1" x="739"/>
        <item m="1" x="435"/>
        <item m="1" x="1381"/>
        <item m="1" x="892"/>
        <item m="1" x="1563"/>
        <item m="1" x="1535"/>
        <item m="1" x="453"/>
        <item m="1" x="1046"/>
        <item m="1" x="726"/>
        <item m="1" x="1363"/>
        <item m="1" x="491"/>
        <item m="1" x="928"/>
        <item m="1" x="1421"/>
        <item m="1" x="868"/>
        <item m="1" x="1374"/>
        <item m="1" x="1602"/>
        <item m="1" x="228"/>
        <item m="1" x="313"/>
        <item m="1" x="560"/>
        <item m="1" x="694"/>
        <item m="1" x="83"/>
        <item m="1" x="683"/>
        <item m="1" x="338"/>
        <item m="1" x="648"/>
        <item m="1" x="1586"/>
        <item m="1" x="775"/>
        <item m="1" x="250"/>
        <item m="1" x="1120"/>
        <item m="1" x="980"/>
        <item m="1" x="760"/>
        <item m="1" x="385"/>
        <item m="1" x="1227"/>
        <item m="1" x="1001"/>
        <item m="1" x="419"/>
        <item m="1" x="1372"/>
        <item m="1" x="588"/>
        <item m="1" x="1225"/>
        <item m="1" x="765"/>
        <item m="1" x="1431"/>
        <item m="1" x="1683"/>
        <item m="1" x="563"/>
        <item m="1" x="1336"/>
        <item m="1" x="1432"/>
        <item m="1" x="960"/>
        <item m="1" x="427"/>
        <item m="1" x="1618"/>
        <item m="1" x="993"/>
        <item m="1" x="570"/>
        <item m="1" x="1096"/>
        <item m="1" x="147"/>
        <item m="1" x="510"/>
        <item m="1" x="225"/>
        <item m="1" x="161"/>
        <item m="1" x="537"/>
        <item m="1" x="1617"/>
        <item m="1" x="639"/>
        <item m="1" x="577"/>
        <item m="1" x="1054"/>
        <item m="1" x="1689"/>
        <item m="1" x="631"/>
        <item m="1" x="1176"/>
        <item m="1" x="526"/>
        <item m="1" x="1414"/>
        <item m="1" x="321"/>
        <item m="1" x="144"/>
        <item m="1" x="1500"/>
        <item m="1" x="356"/>
        <item m="1" x="1329"/>
        <item m="1" x="1089"/>
        <item m="1" x="65"/>
        <item m="1" x="257"/>
        <item m="1" x="247"/>
        <item m="1" x="342"/>
        <item m="1" x="916"/>
        <item m="1" x="965"/>
        <item m="1" x="1119"/>
        <item m="1" x="853"/>
        <item m="1" x="482"/>
        <item m="1" x="22"/>
        <item m="1" x="495"/>
        <item m="1" x="1330"/>
        <item m="1" x="239"/>
        <item m="1" x="67"/>
        <item m="1" x="1443"/>
        <item m="1" x="1467"/>
        <item m="1" x="1517"/>
        <item m="1" x="1468"/>
        <item m="1" x="424"/>
        <item m="1" x="171"/>
        <item m="1" x="735"/>
        <item m="1" x="123"/>
        <item m="1" x="1012"/>
        <item m="1" x="1660"/>
        <item m="1" x="1700"/>
        <item m="1" x="1453"/>
        <item m="1" x="1082"/>
        <item m="1" x="696"/>
        <item m="1" x="1598"/>
        <item m="1" x="815"/>
        <item m="1" x="1579"/>
        <item m="1" x="974"/>
        <item m="1" x="1516"/>
        <item m="1" x="24"/>
        <item m="1" x="224"/>
        <item m="1" x="876"/>
        <item m="1" x="400"/>
        <item m="1" x="1253"/>
        <item m="1" x="1224"/>
        <item m="1" x="29"/>
        <item m="1" x="1581"/>
        <item m="1" x="615"/>
        <item m="1" x="1469"/>
        <item m="1" x="443"/>
        <item m="1" x="948"/>
        <item m="1" x="976"/>
        <item m="1" x="598"/>
        <item m="1" x="569"/>
        <item m="1" x="1484"/>
        <item m="1" x="1494"/>
        <item m="1" x="1510"/>
        <item m="1" x="354"/>
        <item m="1" x="1182"/>
        <item m="1" x="1285"/>
        <item m="1" x="43"/>
        <item m="1" x="833"/>
        <item m="1" x="548"/>
        <item m="1" x="1003"/>
        <item m="1" x="302"/>
        <item m="1" x="284"/>
        <item m="1" x="1447"/>
        <item m="1" x="477"/>
        <item m="1" x="917"/>
        <item m="1" x="452"/>
        <item m="1" x="1255"/>
        <item m="1" x="997"/>
        <item m="1" x="1292"/>
        <item m="1" x="1055"/>
        <item m="1" x="177"/>
        <item m="1" x="819"/>
        <item m="1" x="1241"/>
        <item m="1" x="1104"/>
        <item m="1" x="1260"/>
        <item m="1" x="1674"/>
        <item m="1" x="1623"/>
        <item m="1" x="200"/>
        <item m="1" x="680"/>
        <item m="1" x="1635"/>
        <item m="1" x="18"/>
        <item m="1" x="1463"/>
        <item m="1" x="681"/>
        <item m="1" x="492"/>
        <item m="1" x="324"/>
        <item m="1" x="25"/>
        <item m="1" x="151"/>
        <item m="1" x="1553"/>
        <item m="1" x="986"/>
        <item m="1" x="1261"/>
        <item m="1" x="579"/>
        <item m="1" x="1661"/>
        <item m="1" x="1150"/>
        <item m="1" x="1370"/>
        <item m="1" x="1450"/>
        <item m="1" x="1278"/>
        <item m="1" x="748"/>
        <item m="1" x="248"/>
        <item m="1" x="766"/>
        <item m="1" x="1200"/>
        <item m="1" x="279"/>
        <item m="1" x="1306"/>
        <item m="1" x="1470"/>
        <item m="1" x="556"/>
        <item m="1" x="1483"/>
        <item m="1" x="215"/>
        <item m="1" x="450"/>
        <item m="1" x="103"/>
        <item m="1" x="183"/>
        <item m="1" x="837"/>
        <item m="1" x="1346"/>
        <item m="1" x="484"/>
        <item m="1" x="1651"/>
        <item m="1" x="1088"/>
        <item m="1" x="1274"/>
        <item m="1" x="1348"/>
        <item m="1" x="1384"/>
        <item m="1" x="610"/>
        <item m="1" x="1678"/>
        <item m="1" x="1321"/>
        <item m="1" x="241"/>
        <item m="1" x="1103"/>
        <item m="1" x="1713"/>
        <item m="1" x="1385"/>
        <item m="1" x="1179"/>
        <item m="1" x="647"/>
        <item m="1" x="253"/>
        <item m="1" x="860"/>
        <item m="1" x="1295"/>
        <item m="1" x="1675"/>
        <item m="1" x="561"/>
        <item m="1" x="531"/>
        <item m="1" x="283"/>
        <item m="1" x="881"/>
        <item m="1" x="794"/>
        <item m="1" x="393"/>
        <item m="1" x="478"/>
        <item m="1" x="311"/>
        <item m="1" x="512"/>
        <item m="1" x="1545"/>
        <item m="1" x="1369"/>
        <item m="1" x="1485"/>
        <item m="1" x="684"/>
        <item m="1" x="1161"/>
        <item m="1" x="1218"/>
        <item m="1" x="340"/>
        <item m="1" x="719"/>
        <item m="1" x="331"/>
        <item m="1" x="1230"/>
        <item m="1" x="657"/>
        <item m="1" x="546"/>
        <item m="1" x="406"/>
        <item m="1" x="1284"/>
        <item m="1" x="924"/>
        <item m="1" x="209"/>
        <item m="1" x="1148"/>
        <item m="1" x="1371"/>
        <item m="1" x="1417"/>
        <item m="1" x="1164"/>
        <item m="1" x="265"/>
        <item m="1" x="320"/>
        <item m="1" x="727"/>
        <item m="1" x="1437"/>
        <item m="1" x="1605"/>
        <item m="1" x="378"/>
        <item m="1" x="1075"/>
        <item m="1" x="1152"/>
        <item m="1" x="1646"/>
        <item m="1" x="374"/>
        <item m="1" x="318"/>
        <item m="1" x="236"/>
        <item m="1" x="562"/>
        <item m="1" x="627"/>
        <item m="1" x="207"/>
        <item m="1" x="1578"/>
        <item m="1" x="875"/>
        <item m="1" x="1217"/>
        <item m="1" x="1087"/>
        <item m="1" x="774"/>
        <item m="1" x="690"/>
        <item m="1" x="53"/>
        <item m="1" x="1159"/>
        <item m="1" x="1024"/>
        <item m="1" x="810"/>
        <item m="1" x="1645"/>
        <item m="1" x="1601"/>
        <item m="1" x="1053"/>
        <item m="1" x="1536"/>
        <item m="1" x="58"/>
        <item m="1" x="870"/>
        <item m="1" x="50"/>
        <item m="1" x="713"/>
        <item m="1" x="1667"/>
        <item m="1" x="714"/>
        <item m="1" x="54"/>
        <item m="1" x="1523"/>
        <item m="1" x="1067"/>
        <item m="1" x="995"/>
        <item m="1" x="958"/>
        <item m="1" x="790"/>
        <item m="1" x="41"/>
        <item m="1" x="1473"/>
        <item m="1" x="789"/>
        <item m="1" x="1267"/>
        <item m="1" x="731"/>
        <item m="1" x="1008"/>
        <item m="1" x="891"/>
        <item m="1" x="705"/>
        <item m="1" x="886"/>
        <item m="1" x="1524"/>
        <item m="1" x="416"/>
        <item m="1" x="517"/>
        <item m="1" x="191"/>
        <item m="1" x="1682"/>
        <item m="1" x="388"/>
        <item m="1" x="148"/>
        <item m="1" x="1238"/>
        <item m="1" x="1527"/>
        <item m="1" x="1279"/>
        <item m="1" x="1062"/>
        <item m="1" x="538"/>
        <item m="1" x="1038"/>
        <item m="1" x="6"/>
        <item m="1" x="818"/>
        <item m="1" x="348"/>
        <item m="1" x="982"/>
        <item m="1" x="923"/>
        <item m="1" x="1300"/>
        <item m="1" x="850"/>
        <item m="1" x="777"/>
        <item m="1" x="1288"/>
        <item m="1" x="824"/>
        <item m="1" x="80"/>
        <item m="1" x="316"/>
        <item m="1" x="1129"/>
        <item m="1" x="887"/>
        <item m="1" x="879"/>
        <item m="1" x="1368"/>
        <item m="1" x="798"/>
        <item m="1" x="437"/>
        <item m="1" x="112"/>
        <item m="1" x="82"/>
        <item m="1" x="1427"/>
        <item m="1" x="880"/>
        <item m="1" x="1252"/>
        <item m="1" x="153"/>
        <item m="1" x="838"/>
        <item m="1" x="662"/>
        <item m="1" x="1194"/>
        <item m="1" x="957"/>
        <item m="1" x="1190"/>
        <item m="1" x="442"/>
        <item m="1" x="1317"/>
        <item m="1" x="432"/>
        <item m="1" x="773"/>
        <item m="1" x="1591"/>
        <item m="1" x="1264"/>
        <item m="1" x="339"/>
        <item m="1" x="795"/>
        <item m="1" x="762"/>
        <item m="1" x="1244"/>
        <item m="1" x="1203"/>
        <item m="1" x="1083"/>
        <item m="1" x="287"/>
        <item m="1" x="345"/>
        <item m="1" x="184"/>
        <item m="1" x="1111"/>
        <item m="1" x="1035"/>
        <item m="1" x="170"/>
        <item m="1" x="1276"/>
        <item m="1" x="1378"/>
        <item m="1" x="1181"/>
        <item m="1" x="451"/>
        <item m="1" x="1471"/>
        <item m="1" x="663"/>
        <item m="1" x="1280"/>
        <item m="1" x="297"/>
        <item m="1" x="1309"/>
        <item m="1" x="547"/>
        <item m="1" x="1668"/>
        <item m="1" x="88"/>
        <item m="1" x="1037"/>
        <item m="1" x="1335"/>
        <item m="1" x="937"/>
        <item m="1" x="1501"/>
        <item m="1" x="1128"/>
        <item m="1" x="124"/>
        <item m="1" x="651"/>
        <item m="1" x="1393"/>
        <item m="1" x="938"/>
        <item m="1" x="568"/>
        <item m="1" x="754"/>
        <item m="1" x="1304"/>
        <item m="1" x="857"/>
        <item m="1" x="367"/>
        <item m="1" x="1085"/>
        <item m="1" x="564"/>
        <item m="1" x="820"/>
        <item m="1" x="1015"/>
        <item m="1" x="1603"/>
        <item m="1" x="1141"/>
        <item m="1" x="231"/>
        <item m="1" x="1665"/>
        <item m="1" x="1334"/>
        <item m="1" x="1404"/>
        <item m="1" x="167"/>
        <item m="1" x="1644"/>
        <item m="1" x="1113"/>
        <item m="1" x="945"/>
        <item m="1" x="1011"/>
        <item m="1" x="289"/>
        <item m="1" x="1696"/>
        <item m="1" x="1160"/>
        <item m="1" x="488"/>
        <item m="1" x="447"/>
        <item m="1" x="1583"/>
        <item m="1" x="717"/>
        <item m="1" x="1287"/>
        <item m="1" x="1557"/>
        <item m="1" x="1426"/>
        <item m="1" x="539"/>
        <item m="1" x="380"/>
        <item m="1" x="461"/>
        <item m="1" x="896"/>
        <item m="1" x="106"/>
        <item m="1" x="1606"/>
        <item m="1" x="1390"/>
        <item m="1" x="1212"/>
        <item m="1" x="1063"/>
        <item m="1" x="499"/>
        <item m="1" x="649"/>
        <item m="1" x="1186"/>
        <item m="1" x="1361"/>
        <item m="1" x="967"/>
        <item m="1" x="733"/>
        <item m="1" x="213"/>
        <item m="1" x="300"/>
        <item m="1" x="37"/>
        <item m="1" x="267"/>
        <item m="1" x="1380"/>
        <item m="1" x="596"/>
        <item m="1" x="1613"/>
        <item m="1" x="584"/>
        <item m="1" x="158"/>
        <item m="1" x="994"/>
        <item m="1" x="749"/>
        <item m="1" x="1422"/>
        <item m="1" x="237"/>
        <item m="1" x="68"/>
        <item m="1" x="1407"/>
        <item m="1" x="788"/>
        <item m="1" x="643"/>
        <item m="1" x="1698"/>
        <item m="1" x="771"/>
        <item m="1" x="1221"/>
        <item m="1" x="931"/>
        <item m="1" x="703"/>
        <item m="1" x="1438"/>
        <item m="1" x="573"/>
        <item m="1" x="1637"/>
        <item m="1" x="1297"/>
        <item m="1" x="617"/>
        <item m="1" x="467"/>
        <item m="1" x="396"/>
        <item m="1" x="394"/>
        <item m="1" x="772"/>
        <item m="1" x="1215"/>
        <item m="1" x="1195"/>
        <item m="1" x="1565"/>
        <item m="1" x="34"/>
        <item m="1" x="304"/>
        <item m="1" x="626"/>
        <item m="1" x="578"/>
        <item m="1" x="644"/>
        <item m="1" x="1544"/>
        <item m="1" x="373"/>
        <item m="1" x="1137"/>
        <item m="1" x="1389"/>
        <item m="1" x="105"/>
        <item m="1" x="609"/>
        <item m="1" x="525"/>
        <item m="1" x="341"/>
        <item m="1" x="673"/>
        <item m="1" x="554"/>
        <item m="1" x="1487"/>
        <item m="1" x="1639"/>
        <item m="1" x="1144"/>
        <item m="1" x="1084"/>
        <item m="1" x="370"/>
        <item m="1" x="718"/>
        <item m="1" x="1039"/>
        <item m="1" x="1023"/>
        <item m="1" x="1589"/>
        <item m="1" x="1108"/>
        <item m="1" x="218"/>
        <item m="1" x="498"/>
        <item m="1" x="464"/>
        <item m="1" x="223"/>
        <item m="1" x="458"/>
        <item m="1" x="1243"/>
        <item m="1" x="677"/>
        <item m="1" x="277"/>
        <item m="1" x="851"/>
        <item m="1" x="1232"/>
        <item m="1" x="1628"/>
        <item m="1" x="214"/>
        <item m="1" x="1112"/>
        <item m="1" x="192"/>
        <item m="1" x="710"/>
        <item m="1" x="1375"/>
        <item m="1" x="912"/>
        <item m="1" x="369"/>
        <item m="1" x="1611"/>
        <item m="1" x="767"/>
        <item m="1" x="1621"/>
        <item m="1" x="1541"/>
        <item m="1" x="1620"/>
        <item m="1" x="1633"/>
        <item m="1" x="1420"/>
        <item m="1" x="195"/>
        <item m="1" x="675"/>
        <item m="1" x="1327"/>
        <item m="1" x="671"/>
        <item m="1" x="194"/>
        <item m="1" x="57"/>
        <item m="1" x="908"/>
        <item m="1" x="791"/>
        <item m="1" x="292"/>
        <item m="1" x="1576"/>
        <item m="1" x="1199"/>
        <item m="1" x="508"/>
        <item m="1" x="179"/>
        <item m="1" x="1076"/>
        <item m="1" x="140"/>
        <item m="1" x="119"/>
        <item m="1" x="101"/>
        <item m="1" x="232"/>
        <item m="1" x="1673"/>
        <item m="1" x="1191"/>
        <item m="1" x="697"/>
        <item m="1" x="1622"/>
        <item m="1" x="1041"/>
        <item m="1" x="278"/>
        <item m="1" x="1681"/>
        <item m="1" x="102"/>
        <item m="1" x="1240"/>
        <item m="1" x="20"/>
        <item m="1" x="322"/>
        <item m="1" x="1435"/>
        <item m="1" x="832"/>
        <item m="1" x="480"/>
        <item m="1" x="235"/>
        <item m="1" x="136"/>
        <item m="1" x="1528"/>
        <item m="1" x="185"/>
        <item m="1" x="1460"/>
        <item m="1" x="266"/>
        <item m="1" x="600"/>
        <item m="1" x="521"/>
        <item m="1" x="1269"/>
        <item m="1" x="1547"/>
        <item m="1" x="614"/>
        <item m="1" x="522"/>
        <item m="1" x="590"/>
        <item m="1" x="460"/>
        <item m="1" x="505"/>
        <item m="1" x="972"/>
        <item m="1" x="1441"/>
        <item m="1" x="1472"/>
        <item m="1" x="1298"/>
        <item m="1" x="445"/>
        <item m="1" x="1616"/>
        <item m="1" x="417"/>
        <item m="1" x="1388"/>
        <item m="1" x="985"/>
        <item m="1" x="1614"/>
        <item m="1" x="91"/>
        <item m="1" x="389"/>
        <item m="1" x="1376"/>
        <item m="1" x="806"/>
        <item m="1" x="701"/>
        <item m="1" x="750"/>
        <item m="1" x="700"/>
        <item m="1" x="1588"/>
        <item m="1" x="1064"/>
        <item m="1" x="752"/>
        <item m="1" x="1529"/>
        <item m="1" x="1273"/>
        <item m="1" x="169"/>
        <item m="1" x="1595"/>
        <item m="1" x="1624"/>
        <item m="1" x="210"/>
        <item m="1" x="1093"/>
        <item m="1" x="1495"/>
        <item m="1" x="1685"/>
        <item m="1" x="1672"/>
        <item m="1" x="1663"/>
        <item m="1" x="456"/>
        <item m="1" x="36"/>
        <item m="1" x="63"/>
        <item m="1" x="48"/>
        <item m="1" x="229"/>
        <item m="1" x="604"/>
        <item m="1" x="854"/>
        <item m="1" x="174"/>
        <item m="1" x="641"/>
        <item m="1" x="1130"/>
        <item m="1" x="178"/>
        <item m="1" x="78"/>
        <item m="1" x="134"/>
        <item m="1" x="465"/>
        <item m="1" x="720"/>
        <item m="1" x="1171"/>
        <item m="1" x="312"/>
        <item m="1" x="1133"/>
        <item m="1" x="17"/>
        <item m="1" x="1625"/>
        <item m="1" x="544"/>
        <item m="1" x="659"/>
        <item m="1" x="900"/>
        <item m="1" x="49"/>
        <item m="1" x="842"/>
        <item m="1" x="1265"/>
        <item m="1" x="939"/>
        <item m="1" x="1014"/>
        <item m="1" x="747"/>
        <item m="1" x="44"/>
        <item m="1" x="1311"/>
        <item m="1" x="799"/>
        <item m="1" x="784"/>
        <item m="1" x="511"/>
        <item m="1" x="1245"/>
        <item m="1" x="1594"/>
        <item m="1" x="156"/>
        <item m="1" x="1429"/>
        <item m="1" x="628"/>
        <item m="1" x="593"/>
        <item m="1" x="1465"/>
        <item m="1" x="742"/>
        <item m="1" x="97"/>
        <item m="1" x="329"/>
        <item m="1" x="1302"/>
        <item m="1" x="252"/>
        <item m="1" x="264"/>
        <item m="1" x="221"/>
        <item m="1" x="1061"/>
        <item m="1" x="216"/>
        <item m="1" x="208"/>
        <item m="1" x="543"/>
        <item m="1" x="899"/>
        <item m="1" x="1210"/>
        <item m="1" x="217"/>
        <item m="1" x="1654"/>
        <item m="1" x="674"/>
        <item m="1" x="1065"/>
        <item m="1" x="802"/>
        <item m="1" x="949"/>
        <item m="1" x="1658"/>
        <item m="1" x="308"/>
        <item m="1" x="1419"/>
        <item m="1" x="524"/>
        <item m="1" x="280"/>
        <item m="1" x="830"/>
        <item m="1" x="1189"/>
        <item m="1" x="1197"/>
        <item m="1" x="1629"/>
        <item m="1" x="206"/>
        <item m="1" x="809"/>
        <item m="1" x="238"/>
        <item m="1" x="1564"/>
        <item m="1" x="934"/>
        <item m="1" x="418"/>
        <item m="1" x="281"/>
        <item m="1" x="797"/>
        <item m="1" x="753"/>
        <item m="1" x="294"/>
        <item m="1" x="420"/>
        <item m="1" x="1040"/>
        <item m="1" x="597"/>
        <item m="1" x="909"/>
        <item m="1" x="1165"/>
        <item m="1" x="343"/>
        <item m="1" x="1209"/>
        <item m="1" x="472"/>
        <item m="1" x="1323"/>
        <item m="1" x="629"/>
        <item m="1" x="438"/>
        <item m="1" x="984"/>
        <item m="1" x="1692"/>
        <item m="1" x="1020"/>
        <item m="1" x="889"/>
        <item m="1" x="1341"/>
        <item m="1" x="423"/>
        <item m="1" x="13"/>
        <item m="1" x="1048"/>
        <item m="1" x="1322"/>
        <item m="1" x="98"/>
        <item m="1" x="10"/>
        <item m="1" x="59"/>
        <item m="1" x="844"/>
        <item m="1" x="1641"/>
        <item m="1" x="15"/>
        <item m="1" x="1497"/>
        <item m="1" x="487"/>
        <item m="1" x="816"/>
        <item m="1" x="358"/>
        <item m="1" x="407"/>
        <item m="1" x="1026"/>
        <item m="1" x="571"/>
        <item m="1" x="1263"/>
        <item m="1" x="1017"/>
        <item m="1" x="1648"/>
        <item m="1" x="293"/>
        <item m="1" x="120"/>
        <item m="1" x="1690"/>
        <item m="1" x="1577"/>
        <item m="1" x="668"/>
        <item m="1" x="387"/>
        <item m="1" x="263"/>
        <item m="1" x="1342"/>
        <item m="1" x="514"/>
        <item m="1" x="479"/>
        <item m="1" x="998"/>
        <item m="1" x="691"/>
        <item m="1" x="73"/>
        <item m="1" x="605"/>
        <item m="1" x="616"/>
        <item m="1" x="550"/>
        <item m="1" x="846"/>
        <item m="1" x="368"/>
        <item m="1" x="154"/>
        <item m="1" x="448"/>
        <item m="1" x="1289"/>
        <item m="1" x="1572"/>
        <item m="1" x="1451"/>
        <item m="1" x="1475"/>
        <item m="1" x="1540"/>
        <item m="1" x="85"/>
        <item m="1" x="656"/>
        <item m="1" x="1607"/>
        <item m="1" x="1016"/>
        <item m="1" x="734"/>
        <item m="1" x="786"/>
        <item m="1" x="1226"/>
        <item m="1" x="834"/>
        <item m="1" x="95"/>
        <item m="1" x="1060"/>
        <item m="1" x="1070"/>
        <item m="1" x="905"/>
        <item m="1" x="1542"/>
        <item m="1" x="1401"/>
        <item m="1" x="270"/>
        <item m="1" x="234"/>
        <item m="1" x="504"/>
        <item m="1" x="346"/>
        <item m="1" x="251"/>
        <item m="1" x="1140"/>
        <item m="1" x="1609"/>
        <item m="1" x="528"/>
        <item m="1" x="655"/>
        <item m="1" x="1229"/>
        <item m="1" x="904"/>
        <item m="1" x="1411"/>
        <item m="1" x="1183"/>
        <item m="1" x="737"/>
        <item m="1" x="952"/>
        <item m="1" x="1331"/>
        <item m="1" x="189"/>
        <item m="1" x="486"/>
        <item m="1" x="654"/>
        <item m="1" x="317"/>
        <item m="1" x="1213"/>
        <item m="1" x="94"/>
        <item m="1" x="1508"/>
        <item m="1" x="127"/>
        <item m="1" x="796"/>
        <item m="1" x="1711"/>
        <item m="1" x="1657"/>
        <item m="1" x="1653"/>
        <item m="1" x="361"/>
        <item m="1" x="936"/>
        <item m="1" x="415"/>
        <item m="1" x="258"/>
        <item m="1" x="1455"/>
        <item m="1" x="757"/>
        <item m="1" x="172"/>
        <item m="1" x="180"/>
        <item m="1" x="111"/>
        <item m="1" x="19"/>
        <item m="1" x="619"/>
        <item m="1" x="1436"/>
        <item m="1" x="953"/>
        <item m="1" x="242"/>
        <item m="1" x="430"/>
        <item m="1" x="1454"/>
        <item m="1" x="466"/>
        <item m="1" x="1219"/>
        <item m="1" x="9"/>
        <item m="1" x="203"/>
        <item m="1" x="1259"/>
        <item m="1" x="968"/>
        <item m="1" x="96"/>
        <item m="1" x="636"/>
        <item m="1" x="920"/>
        <item m="1" x="509"/>
        <item m="1" x="535"/>
        <item m="1" x="751"/>
        <item m="1" x="919"/>
        <item m="1" x="1662"/>
        <item m="1" x="243"/>
        <item m="1" x="583"/>
        <item m="1" x="162"/>
        <item m="1" x="109"/>
        <item m="1" x="1659"/>
        <item m="1" x="1701"/>
        <item m="1" x="769"/>
        <item m="1" x="1704"/>
        <item m="1" x="405"/>
        <item m="1" x="118"/>
        <item m="1" x="1600"/>
        <item m="1" x="1439"/>
        <item m="1" x="351"/>
        <item m="1" x="449"/>
        <item m="1" x="1021"/>
        <item m="1" x="1382"/>
        <item m="1" x="1584"/>
        <item m="1" x="581"/>
        <item m="1" x="843"/>
        <item m="1" x="770"/>
        <item m="1" x="440"/>
        <item m="1" x="611"/>
        <item m="1" x="1228"/>
        <item m="1" x="783"/>
        <item m="1" x="32"/>
        <item m="1" x="404"/>
        <item m="1" x="1254"/>
        <item m="1" x="1097"/>
        <item m="1" x="1319"/>
        <item m="1" x="787"/>
        <item m="1" x="139"/>
        <item m="1" x="89"/>
        <item m="1" x="298"/>
        <item m="1" x="1305"/>
        <item m="1" x="1531"/>
        <item m="1" x="1430"/>
        <item m="1" x="1608"/>
        <item m="1" x="1180"/>
        <item m="1" x="1377"/>
        <item m="1" x="363"/>
        <item m="1" x="1627"/>
        <item m="1" x="682"/>
        <item m="1" x="301"/>
        <item m="1" x="186"/>
        <item m="1" x="650"/>
        <item m="1" x="1314"/>
        <item m="1" x="1474"/>
        <item m="1" x="27"/>
        <item m="1" x="565"/>
        <item m="1" x="1124"/>
        <item m="1" x="1235"/>
        <item m="1" x="755"/>
        <item m="1" x="90"/>
        <item m="1" x="1518"/>
        <item m="1" x="1638"/>
        <item m="1" x="355"/>
        <item m="1" x="428"/>
        <item m="1" x="527"/>
        <item m="1" x="653"/>
        <item m="1" x="533"/>
        <item m="1" x="1257"/>
        <item m="1" x="954"/>
        <item m="1" x="706"/>
        <item m="1" x="836"/>
        <item m="1" x="146"/>
        <item m="1" x="602"/>
        <item m="1" x="724"/>
        <item m="1" x="1166"/>
        <item m="1" x="1202"/>
        <item m="1" x="1333"/>
        <item m="1" x="557"/>
        <item m="1" x="1153"/>
        <item m="1" x="800"/>
        <item m="1" x="828"/>
        <item m="1" x="632"/>
        <item m="1" x="1687"/>
        <item m="1" x="839"/>
        <item m="1" x="249"/>
        <item m="1" x="845"/>
        <item m="1" x="271"/>
        <item m="1" x="999"/>
        <item m="1" x="1291"/>
        <item m="1" x="1069"/>
        <item m="1" x="1503"/>
        <item m="1" x="1555"/>
        <item m="1" x="1074"/>
        <item m="1" x="1570"/>
        <item m="1" x="1459"/>
        <item m="1" x="1444"/>
        <item m="1" x="1593"/>
        <item m="1" x="319"/>
        <item m="1" x="975"/>
        <item m="1" x="793"/>
        <item m="1" x="785"/>
        <item m="1" x="1126"/>
        <item m="1" x="268"/>
        <item m="1" x="198"/>
        <item m="1" x="494"/>
        <item m="1" x="429"/>
        <item m="1" x="738"/>
        <item m="1" x="1247"/>
        <item m="1" x="1655"/>
        <item m="1" x="1590"/>
        <item m="1" x="973"/>
        <item m="1" x="1099"/>
        <item m="1" x="1353"/>
        <item m="1" x="392"/>
        <item m="1" x="77"/>
        <item m="1" x="220"/>
        <item m="1" x="1283"/>
        <item m="1" x="1293"/>
        <item m="1" x="822"/>
        <item m="1" x="1652"/>
        <item m="1" x="606"/>
        <item m="1" x="1679"/>
        <item m="1" x="35"/>
        <item m="1" x="922"/>
        <item m="1" x="1539"/>
        <item m="1" x="163"/>
        <item m="1" x="364"/>
        <item m="1" x="79"/>
        <item m="1" x="1117"/>
        <item m="1" x="1091"/>
        <item m="1" x="159"/>
        <item m="1" x="1246"/>
        <item m="1" x="384"/>
        <item m="1" x="1466"/>
        <item m="1" x="1121"/>
        <item m="1" x="1282"/>
        <item m="1" x="1604"/>
        <item m="1" x="930"/>
        <item m="1" x="541"/>
        <item m="1" x="501"/>
        <item m="1" x="599"/>
        <item m="1" x="110"/>
        <item m="1" x="1316"/>
        <item m="1" x="1251"/>
        <item m="1" x="1170"/>
        <item m="1" x="121"/>
        <item m="1" x="545"/>
        <item m="1" x="877"/>
        <item m="1" x="1115"/>
        <item m="1" x="1592"/>
        <item m="1" x="1237"/>
        <item m="1" x="989"/>
        <item m="1" x="173"/>
        <item m="1" x="1206"/>
        <item m="1" x="1403"/>
        <item m="1" x="31"/>
        <item m="1" x="1615"/>
        <item m="1" x="433"/>
        <item m="1" x="273"/>
        <item m="1" x="344"/>
        <item m="1" x="715"/>
        <item m="1" x="33"/>
        <item m="1" x="1022"/>
        <item m="1" x="969"/>
        <item m="1" x="1174"/>
        <item m="1" x="108"/>
        <item m="1" x="152"/>
        <item m="1" x="1347"/>
        <item m="1" x="878"/>
        <item m="1" x="1402"/>
        <item m="1" x="306"/>
        <item m="1" x="1271"/>
        <item m="1" x="921"/>
        <item m="1" x="1100"/>
        <item m="1" x="1548"/>
        <item m="1" x="399"/>
        <item m="1" x="1185"/>
        <item m="1" x="704"/>
        <item m="1" x="1392"/>
        <item m="1" x="903"/>
        <item m="1" x="1105"/>
        <item m="1" x="497"/>
        <item m="1" x="30"/>
        <item m="1" x="211"/>
        <item m="1" x="92"/>
        <item m="1" x="132"/>
        <item m="1" x="645"/>
        <item m="1" x="176"/>
        <item m="1" x="589"/>
        <item m="1" x="426"/>
        <item m="1" x="23"/>
        <item m="1" x="454"/>
        <item m="1" x="943"/>
        <item m="1" x="743"/>
        <item m="1" x="1549"/>
        <item m="1" x="137"/>
        <item m="1" x="131"/>
        <item m="1" x="1081"/>
        <item m="1" x="587"/>
        <item m="1" x="233"/>
        <item m="1" x="503"/>
        <item m="1" x="646"/>
        <item m="1" x="398"/>
        <item m="1" x="397"/>
        <item m="1" x="1198"/>
        <item m="1" x="1204"/>
        <item m="1" x="829"/>
        <item m="1" x="1315"/>
        <item m="1" x="1552"/>
        <item m="1" x="455"/>
        <item m="1" x="349"/>
        <item m="1" x="1416"/>
        <item m="1" x="1325"/>
        <item m="1" x="1000"/>
        <item m="1" x="327"/>
        <item m="1" x="390"/>
        <item m="1" x="326"/>
        <item m="1" x="572"/>
        <item m="1" x="1145"/>
        <item m="1" x="983"/>
        <item m="1" x="1708"/>
        <item m="1" x="1307"/>
        <item m="1" x="1162"/>
        <item m="1" x="1167"/>
        <item m="1" x="672"/>
        <item m="1" x="1163"/>
        <item m="1" x="1109"/>
        <item m="1" x="1702"/>
        <item m="1" x="1146"/>
        <item m="1" x="425"/>
        <item m="1" x="1211"/>
        <item m="1" x="1691"/>
        <item m="1" x="314"/>
        <item m="1" x="1079"/>
        <item m="1" x="1440"/>
        <item m="1" x="1649"/>
        <item m="1" x="1077"/>
        <item m="1" x="855"/>
        <item m="1" x="45"/>
        <item m="1" x="530"/>
        <item m="1" x="1387"/>
        <item m="1" x="801"/>
        <item m="1" x="1250"/>
        <item m="1" x="867"/>
        <item m="1" x="781"/>
        <item m="1" x="7"/>
        <item m="1" x="1532"/>
        <item m="1" x="1270"/>
        <item m="1" x="1452"/>
        <item m="1" x="269"/>
        <item m="1" x="28"/>
        <item m="1" x="1296"/>
        <item m="1" x="1208"/>
        <item m="1" x="780"/>
        <item m="1" x="1462"/>
        <item m="1" x="410"/>
        <item m="1" x="413"/>
        <item m="1" x="1102"/>
        <item m="1" x="699"/>
        <item m="1" x="70"/>
        <item m="1" x="336"/>
        <item m="1" x="890"/>
        <item m="1" x="612"/>
        <item m="1" x="613"/>
        <item m="1" x="1366"/>
        <item m="1" x="915"/>
        <item m="1" x="729"/>
        <item m="1" x="21"/>
        <item m="1" x="125"/>
        <item m="1" x="337"/>
        <item m="1" x="469"/>
        <item m="1" x="138"/>
        <item m="1" x="858"/>
        <item m="1" x="422"/>
        <item m="1" x="893"/>
        <item m="1" x="115"/>
        <item m="1" x="155"/>
        <item m="1" x="624"/>
        <item m="1" x="1546"/>
        <item m="1" x="805"/>
        <item m="1" x="1139"/>
        <item m="1" x="11"/>
        <item m="1" x="199"/>
        <item m="1" x="490"/>
        <item m="1" x="288"/>
        <item m="1" x="462"/>
        <item m="1" x="1098"/>
        <item m="1" x="150"/>
        <item m="1" x="516"/>
        <item m="1" x="1057"/>
        <item m="1" x="840"/>
        <item m="1" x="1056"/>
        <item m="1" x="334"/>
        <item m="1" x="1122"/>
        <item m="1" x="1223"/>
        <item m="1" x="1457"/>
        <item m="1" x="1703"/>
        <item m="1" x="1550"/>
        <item m="1" x="814"/>
        <item m="1" x="1147"/>
        <item m="1" x="1423"/>
        <item m="1" x="1343"/>
        <item m="1" x="129"/>
        <item m="1" x="725"/>
        <item m="1" x="325"/>
        <item m="1" x="966"/>
        <item m="1" x="386"/>
        <item m="1" x="1599"/>
        <item m="1" x="1029"/>
        <item m="1" x="946"/>
        <item m="1" x="963"/>
        <item m="1" x="260"/>
        <item m="1" x="542"/>
        <item m="1" x="1031"/>
        <item m="1" x="408"/>
        <item m="1" x="676"/>
        <item m="1" x="1220"/>
        <item m="1" x="515"/>
        <item m="1" x="1671"/>
        <item m="1" x="1032"/>
        <item m="1" x="1106"/>
        <item m="1" x="898"/>
        <item m="1" x="1339"/>
        <item m="1" x="1107"/>
        <item m="1" x="506"/>
        <item m="1" x="1127"/>
        <item m="1" x="918"/>
        <item m="1" x="401"/>
        <item m="1" x="1337"/>
        <item m="1" x="165"/>
        <item m="1" x="93"/>
        <item m="1" x="86"/>
        <item m="1" x="463"/>
        <item m="1" x="1562"/>
        <item m="1" x="391"/>
        <item m="1" x="402"/>
        <item m="1" x="1132"/>
        <item m="1" x="468"/>
        <item m="1" x="166"/>
        <item m="1" x="732"/>
        <item m="1" x="779"/>
        <item m="1" x="1007"/>
        <item m="1" x="205"/>
        <item m="1" x="768"/>
        <item m="1" x="532"/>
        <item m="1" x="856"/>
        <item m="1" x="990"/>
        <item m="1" x="637"/>
        <item m="1" x="933"/>
        <item m="1" x="1386"/>
        <item m="1" x="1383"/>
        <item m="1" x="1326"/>
        <item m="1" x="1051"/>
        <item m="1" x="741"/>
        <item m="1" x="988"/>
        <item m="1" x="708"/>
        <item m="1" x="255"/>
        <item m="1" x="1234"/>
        <item m="1" x="254"/>
        <item m="1" x="1157"/>
        <item m="1" x="813"/>
        <item m="1" x="1632"/>
        <item m="1" x="861"/>
        <item m="1" x="812"/>
        <item m="1" x="566"/>
        <item m="1" x="1697"/>
        <item m="1" x="1650"/>
        <item m="1" x="586"/>
        <item m="1" x="489"/>
        <item m="1" x="1277"/>
        <item m="1" x="950"/>
        <item m="1" x="1418"/>
        <item m="1" x="1364"/>
        <item m="1" x="459"/>
        <item m="1" x="1619"/>
        <item m="1" x="1643"/>
        <item m="1" x="1688"/>
        <item m="1" x="869"/>
        <item m="1" x="1357"/>
        <item m="1" x="707"/>
        <item m="1" x="362"/>
        <item m="1" x="1519"/>
        <item m="1" x="852"/>
        <item m="1" x="913"/>
        <item m="1" x="40"/>
        <item m="1" x="827"/>
        <item m="1" x="1175"/>
        <item m="1" x="107"/>
        <item m="1" x="907"/>
        <item m="1" x="1412"/>
        <item m="1" x="1125"/>
        <item m="1" x="866"/>
        <item m="1" x="381"/>
        <item m="1" x="196"/>
        <item m="1" x="849"/>
        <item m="1" x="929"/>
        <item m="1" x="863"/>
        <item m="1" x="1092"/>
        <item m="1" x="483"/>
        <item m="1" x="1456"/>
        <item m="1" x="1004"/>
        <item m="1" x="471"/>
        <item m="1" x="685"/>
        <item m="1" x="353"/>
        <item m="1" x="1320"/>
        <item m="1" x="1249"/>
        <item m="1" x="981"/>
        <item m="1" x="126"/>
        <item m="1" x="567"/>
        <item m="1" x="551"/>
        <item m="1" x="473"/>
        <item m="1" x="1149"/>
        <item m="1" x="895"/>
        <item m="1" x="1428"/>
        <item m="1" x="1312"/>
        <item m="1" x="961"/>
        <item m="1" x="1425"/>
        <item m="1" x="1476"/>
        <item m="1" x="446"/>
        <item m="1" x="746"/>
        <item m="1" x="932"/>
        <item m="1" x="256"/>
        <item m="1" x="1027"/>
        <item m="1" x="1239"/>
        <item m="1" x="1396"/>
        <item m="1" x="630"/>
        <item m="1" x="1585"/>
        <item m="1" x="1068"/>
        <item m="1" x="403"/>
        <item m="1" x="1299"/>
        <item m="1" x="658"/>
        <item m="1" x="1018"/>
        <item m="1" x="1445"/>
        <item m="1" x="1216"/>
        <item m="1" x="1610"/>
        <item m="1" x="1231"/>
        <item m="1" x="1196"/>
        <item m="1" x="618"/>
        <item m="1" x="758"/>
        <item m="1" x="1313"/>
        <item m="1" x="642"/>
        <item m="1" x="160"/>
        <item m="1" x="864"/>
        <item m="1" x="230"/>
        <item m="1" x="1080"/>
        <item m="1" x="1409"/>
        <item m="1" x="323"/>
        <item m="1" x="1201"/>
        <item m="1" x="1349"/>
        <item m="1" x="1192"/>
        <item m="1" x="42"/>
        <item m="1" x="1458"/>
        <item m="1" x="1050"/>
        <item m="1" x="69"/>
        <item m="1" x="576"/>
        <item m="1" x="826"/>
        <item m="1" x="240"/>
        <item m="1" x="1520"/>
        <item m="1" x="1525"/>
        <item m="1" x="352"/>
        <item m="1" x="47"/>
        <item m="1" x="1094"/>
        <item m="1" x="1009"/>
        <item m="1" x="1294"/>
        <item m="1" x="926"/>
        <item m="1" x="1352"/>
        <item m="1" x="1158"/>
        <item m="1" x="848"/>
        <item m="1" x="52"/>
        <item m="1" x="592"/>
        <item m="1" x="582"/>
        <item m="1" x="1707"/>
        <item m="1" x="1397"/>
        <item m="1" x="128"/>
        <item m="1" x="831"/>
        <item m="1" x="955"/>
        <item m="1" x="122"/>
        <item m="1" x="702"/>
        <item m="1" x="1142"/>
        <item m="1" x="157"/>
        <item m="1" x="46"/>
        <item m="1" x="1680"/>
        <item m="1" x="1640"/>
        <item m="1" x="634"/>
        <item m="1" x="372"/>
        <item m="1" x="72"/>
        <item m="1" x="1410"/>
        <item m="1" x="113"/>
        <item m="1" x="350"/>
        <item m="1" x="964"/>
        <item m="1" x="835"/>
        <item m="1" x="1118"/>
        <item m="1" x="1712"/>
        <item m="1" x="865"/>
        <item m="1" x="1205"/>
        <item m="1" x="1136"/>
        <item m="1" x="513"/>
        <item m="1" x="978"/>
        <item m="1" x="1434"/>
        <item m="1" x="197"/>
        <item m="1" x="76"/>
        <item m="1" x="274"/>
        <item m="1" x="1059"/>
        <item m="1" x="295"/>
        <item m="1" x="686"/>
        <item m="1" x="1290"/>
        <item m="1" x="51"/>
        <item m="1" x="411"/>
        <item m="1" x="817"/>
        <item m="1" x="1709"/>
        <item m="1" x="1188"/>
        <item m="1" x="689"/>
        <item m="1" x="149"/>
        <item m="1" x="906"/>
        <item m="1" x="1169"/>
        <item m="1" x="1533"/>
        <item m="1" x="475"/>
        <item m="1" x="1582"/>
        <item m="1" x="979"/>
        <item m="1" x="549"/>
        <item m="1" x="1515"/>
        <item m="1" x="227"/>
        <item m="1" x="1574"/>
        <item m="1" x="1303"/>
        <item m="1" x="116"/>
        <item m="1" x="633"/>
        <item m="1" x="763"/>
        <item m="1" x="759"/>
        <item m="1" x="1543"/>
        <item m="1" x="1030"/>
        <item m="1" x="1664"/>
        <item m="1" x="523"/>
        <item m="1" x="1151"/>
        <item m="1" x="1258"/>
        <item m="1" x="1143"/>
        <item m="1" x="409"/>
        <item m="1" x="1479"/>
        <item m="1" x="1256"/>
        <item m="1" x="38"/>
        <item m="1" x="1634"/>
        <item m="1" x="1310"/>
        <item m="1" x="1207"/>
        <item m="1" x="1101"/>
        <item m="1" x="481"/>
        <item m="1" x="1398"/>
        <item m="1" x="1408"/>
        <item m="1" x="1025"/>
        <item m="1" x="823"/>
        <item m="1" x="1138"/>
        <item m="1" x="621"/>
        <item m="1" x="75"/>
        <item m="1" x="275"/>
        <item m="1" x="175"/>
        <item m="1" x="730"/>
        <item m="1" x="305"/>
        <item m="1" x="1478"/>
        <item m="1" x="299"/>
        <item m="1" x="1498"/>
        <item m="1" x="585"/>
        <item m="1" x="16"/>
        <item m="1" x="940"/>
        <item m="1" x="1116"/>
        <item m="1" x="285"/>
        <item m="1" x="335"/>
        <item m="1" x="1308"/>
        <item m="1" x="1394"/>
        <item m="1" x="222"/>
        <item m="1" x="825"/>
        <item m="1" x="201"/>
        <item m="1" x="1699"/>
        <item m="1" x="1391"/>
        <item m="1" x="296"/>
        <item m="1" x="638"/>
        <item m="1" x="901"/>
        <item m="1" x="1406"/>
        <item m="1" x="1028"/>
        <item m="1" x="847"/>
        <item m="1" x="500"/>
        <item m="1" x="558"/>
        <item m="1" x="1365"/>
        <item m="1" x="1172"/>
        <item m="1" x="1566"/>
        <item m="1" x="1344"/>
        <item m="1" x="1090"/>
        <item m="1" x="412"/>
        <item m="1" x="436"/>
        <item m="1" x="1073"/>
        <item m="1" x="666"/>
        <item m="1" x="740"/>
        <item m="1" x="745"/>
        <item m="1" x="620"/>
        <item m="1" x="130"/>
        <item m="1" x="607"/>
        <item m="1" x="502"/>
        <item m="1" x="925"/>
        <item m="1" x="1551"/>
        <item m="1" x="721"/>
        <item m="1" x="959"/>
        <item m="1" x="807"/>
        <item m="1" x="652"/>
        <item m="1" x="601"/>
        <item m="1" x="441"/>
        <item m="1" x="782"/>
        <item m="1" x="608"/>
        <item m="1" x="1379"/>
        <item m="1" x="142"/>
        <item m="1" x="1184"/>
        <item m="1" x="1154"/>
        <item m="1" x="383"/>
        <item m="1" x="1043"/>
        <item m="1" x="1044"/>
        <item m="1" x="1424"/>
        <item m="1" x="1477"/>
        <item m="1" x="382"/>
        <item m="1" x="1177"/>
        <item m="1" x="1676"/>
        <item m="1" x="1693"/>
        <item m="1" x="286"/>
        <item m="1" x="1318"/>
        <item m="1" x="143"/>
        <item m="1" x="493"/>
        <item m="1" x="623"/>
        <item m="1" x="1233"/>
        <item m="1" x="698"/>
        <item x="3"/>
        <item m="1" x="1086"/>
        <item m="1" x="360"/>
        <item m="1" x="1446"/>
        <item m="1" x="182"/>
        <item m="1" x="1156"/>
        <item m="1" x="359"/>
        <item m="1" x="1019"/>
        <item m="1" x="444"/>
        <item m="1" x="669"/>
        <item m="1" x="1449"/>
        <item m="1" x="897"/>
        <item m="1" x="951"/>
        <item x="4"/>
        <item x="2"/>
        <item m="1" x="688"/>
        <item m="1" x="332"/>
        <item x="1"/>
      </items>
    </pivotField>
    <pivotField axis="axisRow" compact="0" outline="0" subtotalTop="0" showAll="0" defaultSubtotal="0">
      <items count="503">
        <item x="0"/>
        <item m="1" x="461"/>
        <item m="1" x="172"/>
        <item m="1" x="435"/>
        <item m="1" x="11"/>
        <item m="1" x="2"/>
        <item m="1" x="173"/>
        <item m="1" x="112"/>
        <item m="1" x="377"/>
        <item m="1" x="457"/>
        <item m="1" x="254"/>
        <item m="1" x="91"/>
        <item m="1" x="114"/>
        <item m="1" x="302"/>
        <item m="1" x="346"/>
        <item m="1" x="8"/>
        <item m="1" x="142"/>
        <item m="1" x="395"/>
        <item m="1" x="415"/>
        <item m="1" x="494"/>
        <item m="1" x="440"/>
        <item m="1" x="467"/>
        <item m="1" x="416"/>
        <item m="1" x="349"/>
        <item m="1" x="459"/>
        <item m="1" x="238"/>
        <item m="1" x="204"/>
        <item m="1" x="218"/>
        <item m="1" x="215"/>
        <item m="1" x="129"/>
        <item m="1" x="396"/>
        <item m="1" x="116"/>
        <item m="1" x="256"/>
        <item m="1" x="364"/>
        <item m="1" x="473"/>
        <item m="1" x="242"/>
        <item m="1" x="182"/>
        <item m="1" x="169"/>
        <item m="1" x="13"/>
        <item m="1" x="432"/>
        <item m="1" x="18"/>
        <item m="1" x="97"/>
        <item m="1" x="123"/>
        <item m="1" x="253"/>
        <item m="1" x="151"/>
        <item m="1" x="466"/>
        <item m="1" x="6"/>
        <item m="1" x="42"/>
        <item m="1" x="448"/>
        <item m="1" x="362"/>
        <item m="1" x="239"/>
        <item m="1" x="17"/>
        <item m="1" x="5"/>
        <item m="1" x="117"/>
        <item m="1" x="363"/>
        <item m="1" x="408"/>
        <item m="1" x="452"/>
        <item m="1" x="102"/>
        <item m="1" x="12"/>
        <item m="1" x="445"/>
        <item m="1" x="411"/>
        <item m="1" x="175"/>
        <item m="1" x="444"/>
        <item m="1" x="497"/>
        <item m="1" x="270"/>
        <item m="1" x="325"/>
        <item m="1" x="162"/>
        <item m="1" x="224"/>
        <item m="1" x="107"/>
        <item m="1" x="130"/>
        <item m="1" x="372"/>
        <item m="1" x="388"/>
        <item m="1" x="273"/>
        <item m="1" x="304"/>
        <item m="1" x="158"/>
        <item m="1" x="307"/>
        <item m="1" x="192"/>
        <item m="1" x="181"/>
        <item m="1" x="296"/>
        <item m="1" x="334"/>
        <item m="1" x="315"/>
        <item n="El RR tuvo que asegurar en el Km 521 para revisar novedad presentada con el Generador del ME, la cual se encuentra fuera de servicio." m="1" x="274"/>
        <item m="1" x="375"/>
        <item m="1" x="177"/>
        <item m="1" x="150"/>
        <item m="1" x="223"/>
        <item m="1" x="398"/>
        <item m="1" x="233"/>
        <item m="1" x="246"/>
        <item m="1" x="67"/>
        <item m="1" x="260"/>
        <item m="1" x="37"/>
        <item m="1" x="194"/>
        <item m="1" x="88"/>
        <item m="1" x="322"/>
        <item m="1" x="480"/>
        <item m="1" x="498"/>
        <item m="1" x="341"/>
        <item m="1" x="402"/>
        <item m="1" x="212"/>
        <item m="1" x="45"/>
        <item n="Se contempla desviacion en su plan de navegacion por novedades con el orden publico donde el RR tuvo que asegurar." m="1" x="481"/>
        <item m="1" x="211"/>
        <item m="1" x="203"/>
        <item m="1" x="221"/>
        <item m="1" x="269"/>
        <item m="1" x="358"/>
        <item m="1" x="104"/>
        <item m="1" x="75"/>
        <item m="1" x="353"/>
        <item m="1" x="286"/>
        <item m="1" x="266"/>
        <item m="1" x="310"/>
        <item m="1" x="267"/>
        <item m="1" x="3"/>
        <item m="1" x="149"/>
        <item m="1" x="29"/>
        <item m="1" x="298"/>
        <item m="1" x="139"/>
        <item m="1" x="419"/>
        <item m="1" x="174"/>
        <item m="1" x="86"/>
        <item m="1" x="386"/>
        <item m="1" x="385"/>
        <item m="1" x="387"/>
        <item m="1" x="271"/>
        <item m="1" x="268"/>
        <item m="1" x="303"/>
        <item m="1" x="293"/>
        <item m="1" x="35"/>
        <item m="1" x="176"/>
        <item m="1" x="424"/>
        <item m="1" x="389"/>
        <item m="1" x="288"/>
        <item m="1" x="152"/>
        <item m="1" x="357"/>
        <item m="1" x="96"/>
        <item m="1" x="337"/>
        <item m="1" x="77"/>
        <item m="1" x="354"/>
        <item m="1" x="27"/>
        <item m="1" x="347"/>
        <item m="1" x="62"/>
        <item m="1" x="324"/>
        <item m="1" x="319"/>
        <item m="1" x="94"/>
        <item m="1" x="263"/>
        <item m="1" x="144"/>
        <item m="1" x="352"/>
        <item m="1" x="125"/>
        <item m="1" x="4"/>
        <item m="1" x="108"/>
        <item m="1" x="378"/>
        <item m="1" x="33"/>
        <item m="1" x="128"/>
        <item m="1" x="28"/>
        <item m="1" x="7"/>
        <item m="1" x="166"/>
        <item m="1" x="338"/>
        <item m="1" x="297"/>
        <item m="1" x="367"/>
        <item m="1" x="25"/>
        <item m="1" x="340"/>
        <item m="1" x="103"/>
        <item m="1" x="412"/>
        <item m="1" x="141"/>
        <item m="1" x="20"/>
        <item m="1" x="410"/>
        <item m="1" x="32"/>
        <item m="1" x="156"/>
        <item m="1" x="145"/>
        <item m="1" x="425"/>
        <item m="1" x="122"/>
        <item m="1" x="500"/>
        <item m="1" x="421"/>
        <item m="1" x="284"/>
        <item m="1" x="283"/>
        <item m="1" x="299"/>
        <item m="1" x="165"/>
        <item m="1" x="455"/>
        <item m="1" x="463"/>
        <item m="1" x="186"/>
        <item m="1" x="309"/>
        <item m="1" x="160"/>
        <item m="1" x="259"/>
        <item m="1" x="196"/>
        <item m="1" x="120"/>
        <item m="1" x="486"/>
        <item m="1" x="111"/>
        <item m="1" x="272"/>
        <item m="1" x="360"/>
        <item m="1" x="382"/>
        <item m="1" x="250"/>
        <item m="1" x="237"/>
        <item m="1" x="41"/>
        <item m="1" x="492"/>
        <item m="1" x="314"/>
        <item m="1" x="136"/>
        <item m="1" x="469"/>
        <item m="1" x="292"/>
        <item m="1" x="63"/>
        <item m="1" x="342"/>
        <item m="1" x="331"/>
        <item m="1" x="483"/>
        <item m="1" x="132"/>
        <item m="1" x="456"/>
        <item m="1" x="443"/>
        <item m="1" x="202"/>
        <item m="1" x="351"/>
        <item m="1" x="226"/>
        <item m="1" x="232"/>
        <item m="1" x="70"/>
        <item m="1" x="31"/>
        <item m="1" x="255"/>
        <item m="1" x="113"/>
        <item m="1" x="345"/>
        <item m="1" x="426"/>
        <item m="1" x="115"/>
        <item m="1" x="95"/>
        <item m="1" x="442"/>
        <item m="1" x="90"/>
        <item m="1" x="231"/>
        <item m="1" x="328"/>
        <item m="1" x="235"/>
        <item m="1" x="243"/>
        <item m="1" x="36"/>
        <item m="1" x="312"/>
        <item m="1" x="381"/>
        <item m="1" x="460"/>
        <item m="1" x="40"/>
        <item m="1" x="121"/>
        <item m="1" x="101"/>
        <item m="1" x="157"/>
        <item m="1" x="119"/>
        <item m="1" x="55"/>
        <item m="1" x="155"/>
        <item m="1" x="479"/>
        <item m="1" x="189"/>
        <item m="1" x="301"/>
        <item m="1" x="171"/>
        <item m="1" x="81"/>
        <item m="1" x="458"/>
        <item m="1" x="15"/>
        <item m="1" x="464"/>
        <item m="1" x="441"/>
        <item m="1" x="24"/>
        <item m="1" x="201"/>
        <item m="1" x="472"/>
        <item m="1" x="439"/>
        <item m="1" x="446"/>
        <item m="1" x="437"/>
        <item m="1" x="44"/>
        <item m="1" x="476"/>
        <item m="1" x="454"/>
        <item m="1" x="488"/>
        <item m="1" x="495"/>
        <item m="1" x="54"/>
        <item m="1" x="124"/>
        <item m="1" x="275"/>
        <item m="1" x="252"/>
        <item m="1" x="244"/>
        <item m="1" x="291"/>
        <item m="1" x="413"/>
        <item m="1" x="78"/>
        <item m="1" x="14"/>
        <item m="1" x="52"/>
        <item m="1" x="427"/>
        <item m="1" x="198"/>
        <item m="1" x="431"/>
        <item m="1" x="74"/>
        <item m="1" x="50"/>
        <item m="1" x="453"/>
        <item m="1" x="134"/>
        <item m="1" x="370"/>
        <item m="1" x="251"/>
        <item m="1" x="46"/>
        <item m="1" x="133"/>
        <item m="1" x="379"/>
        <item m="1" x="66"/>
        <item m="1" x="53"/>
        <item m="1" x="228"/>
        <item m="1" x="92"/>
        <item m="1" x="262"/>
        <item m="1" x="277"/>
        <item m="1" x="323"/>
        <item m="1" x="326"/>
        <item m="1" x="420"/>
        <item m="1" x="502"/>
        <item m="1" x="348"/>
        <item m="1" x="234"/>
        <item m="1" x="217"/>
        <item m="1" x="178"/>
        <item m="1" x="216"/>
        <item m="1" x="290"/>
        <item m="1" x="258"/>
        <item m="1" x="143"/>
        <item m="1" x="397"/>
        <item m="1" x="359"/>
        <item m="1" x="406"/>
        <item m="1" x="43"/>
        <item m="1" x="131"/>
        <item m="1" x="391"/>
        <item m="1" x="470"/>
        <item m="1" x="197"/>
        <item m="1" x="98"/>
        <item m="1" x="168"/>
        <item m="1" x="430"/>
        <item m="1" x="83"/>
        <item m="1" x="109"/>
        <item m="1" x="449"/>
        <item m="1" x="199"/>
        <item m="1" x="48"/>
        <item m="1" x="478"/>
        <item m="1" x="365"/>
        <item m="1" x="85"/>
        <item m="1" x="51"/>
        <item m="1" x="167"/>
        <item m="1" x="71"/>
        <item m="1" x="477"/>
        <item m="1" x="184"/>
        <item m="1" x="257"/>
        <item m="1" x="371"/>
        <item m="1" x="76"/>
        <item m="1" x="285"/>
        <item m="1" x="193"/>
        <item m="1" x="482"/>
        <item m="1" x="311"/>
        <item m="1" x="490"/>
        <item m="1" x="394"/>
        <item m="1" x="465"/>
        <item n="Desvio en el plan de navegacion por novedad en bomba de enfriamiento" m="1" x="380"/>
        <item m="1" x="222"/>
        <item m="1" x="183"/>
        <item m="1" x="106"/>
        <item m="1" x="93"/>
        <item m="1" x="245"/>
        <item m="1" x="295"/>
        <item m="1" x="110"/>
        <item m="1" x="220"/>
        <item m="1" x="236"/>
        <item m="1" x="80"/>
        <item m="1" x="61"/>
        <item m="1" x="16"/>
        <item m="1" x="361"/>
        <item m="1" x="489"/>
        <item m="1" x="438"/>
        <item m="1" x="429"/>
        <item m="1" x="405"/>
        <item m="1" x="400"/>
        <item m="1" x="185"/>
        <item m="1" x="368"/>
        <item m="1" x="332"/>
        <item m="1" x="195"/>
        <item m="1" x="146"/>
        <item m="1" x="313"/>
        <item m="1" x="69"/>
        <item m="1" x="384"/>
        <item m="1" x="249"/>
        <item m="1" x="493"/>
        <item m="1" x="190"/>
        <item m="1" x="248"/>
        <item m="1" x="414"/>
        <item m="1" x="34"/>
        <item m="1" x="339"/>
        <item m="1" x="188"/>
        <item m="1" x="161"/>
        <item m="1" x="207"/>
        <item m="1" x="39"/>
        <item m="1" x="374"/>
        <item m="1" x="206"/>
        <item m="1" x="327"/>
        <item m="1" x="276"/>
        <item m="1" x="422"/>
        <item m="1" x="294"/>
        <item m="1" x="153"/>
        <item m="1" x="148"/>
        <item m="1" x="404"/>
        <item m="1" x="105"/>
        <item m="1" x="213"/>
        <item m="1" x="26"/>
        <item m="1" x="140"/>
        <item m="1" x="179"/>
        <item m="1" x="209"/>
        <item m="1" x="329"/>
        <item m="1" x="57"/>
        <item m="1" x="58"/>
        <item m="1" x="407"/>
        <item m="1" x="451"/>
        <item m="1" x="38"/>
        <item m="1" x="330"/>
        <item m="1" x="316"/>
        <item m="1" x="366"/>
        <item m="1" x="100"/>
        <item m="1" x="428"/>
        <item m="1" x="210"/>
        <item m="1" x="47"/>
        <item m="1" x="200"/>
        <item m="1" x="333"/>
        <item m="1" x="147"/>
        <item m="1" x="300"/>
        <item m="1" x="229"/>
        <item m="1" x="127"/>
        <item m="1" x="433"/>
        <item m="1" x="68"/>
        <item m="1" x="487"/>
        <item m="1" x="417"/>
        <item m="1" x="261"/>
        <item m="1" x="289"/>
        <item m="1" x="496"/>
        <item m="1" x="499"/>
        <item m="1" x="264"/>
        <item m="1" x="208"/>
        <item m="1" x="65"/>
        <item m="1" x="376"/>
        <item m="1" x="138"/>
        <item m="1" x="247"/>
        <item m="1" x="356"/>
        <item m="1" x="282"/>
        <item m="1" x="403"/>
        <item m="1" x="308"/>
        <item m="1" x="373"/>
        <item m="1" x="468"/>
        <item m="1" x="280"/>
        <item m="1" x="320"/>
        <item m="1" x="265"/>
        <item m="1" x="99"/>
        <item m="1" x="485"/>
        <item m="1" x="170"/>
        <item m="1" x="22"/>
        <item m="1" x="336"/>
        <item m="1" x="225"/>
        <item m="1" x="306"/>
        <item m="1" x="450"/>
        <item m="1" x="390"/>
        <item m="1" x="135"/>
        <item m="1" x="87"/>
        <item m="1" x="84"/>
        <item m="1" x="23"/>
        <item m="1" x="230"/>
        <item m="1" x="474"/>
        <item m="1" x="30"/>
        <item m="1" x="434"/>
        <item m="1" x="89"/>
        <item m="1" x="118"/>
        <item m="1" x="10"/>
        <item m="1" x="471"/>
        <item m="1" x="126"/>
        <item m="1" x="82"/>
        <item m="1" x="19"/>
        <item m="1" x="393"/>
        <item m="1" x="21"/>
        <item m="1" x="344"/>
        <item m="1" x="436"/>
        <item m="1" x="73"/>
        <item m="1" x="305"/>
        <item m="1" x="484"/>
        <item m="1" x="59"/>
        <item m="1" x="501"/>
        <item m="1" x="383"/>
        <item m="1" x="491"/>
        <item m="1" x="241"/>
        <item m="1" x="72"/>
        <item m="1" x="219"/>
        <item m="1" x="462"/>
        <item m="1" x="355"/>
        <item m="1" x="56"/>
        <item m="1" x="64"/>
        <item m="1" x="399"/>
        <item m="1" x="475"/>
        <item m="1" x="60"/>
        <item m="1" x="287"/>
        <item m="1" x="401"/>
        <item m="1" x="163"/>
        <item m="1" x="447"/>
        <item m="1" x="227"/>
        <item m="1" x="164"/>
        <item m="1" x="343"/>
        <item m="1" x="180"/>
        <item m="1" x="409"/>
        <item m="1" x="79"/>
        <item m="1" x="418"/>
        <item m="1" x="321"/>
        <item m="1" x="318"/>
        <item m="1" x="205"/>
        <item m="1" x="159"/>
        <item m="1" x="335"/>
        <item m="1" x="214"/>
        <item m="1" x="317"/>
        <item m="1" x="350"/>
        <item m="1" x="154"/>
        <item m="1" x="279"/>
        <item m="1" x="278"/>
        <item m="1" x="281"/>
        <item m="1" x="187"/>
        <item m="1" x="49"/>
        <item m="1" x="423"/>
        <item m="1" x="240"/>
        <item m="1" x="369"/>
        <item m="1" x="191"/>
        <item m="1" x="392"/>
        <item m="1" x="9"/>
        <item m="1" x="137"/>
        <item x="1"/>
      </items>
    </pivotField>
    <pivotField compact="0" outline="0" showAll="0" defaultSubtotal="0"/>
    <pivotField compact="0" outline="0" showAll="0" defaultSubtotal="0"/>
    <pivotField name="Locación_x000a_Arribo" axis="axisRow" compact="0" outline="0" showAll="0" includeNewItemsInFilter="1" defaultSubtotal="0">
      <items count="16">
        <item x="0"/>
        <item m="1" x="9"/>
        <item m="1" x="4"/>
        <item m="1" x="10"/>
        <item m="1" x="5"/>
        <item m="1" x="14"/>
        <item m="1" x="12"/>
        <item m="1" x="6"/>
        <item m="1" x="11"/>
        <item m="1" x="15"/>
        <item m="1" x="13"/>
        <item m="1" x="7"/>
        <item m="1" x="8"/>
        <item x="1"/>
        <item x="2"/>
        <item x="3"/>
      </items>
    </pivotField>
    <pivotField axis="axisRow" compact="0" outline="0" showAll="0" defaultSubtotal="0">
      <items count="944">
        <item x="0"/>
        <item m="1" x="197"/>
        <item m="1" x="875"/>
        <item m="1" x="523"/>
        <item m="1" x="793"/>
        <item m="1" x="268"/>
        <item m="1" x="193"/>
        <item m="1" x="202"/>
        <item m="1" x="5"/>
        <item m="1" x="617"/>
        <item m="1" x="883"/>
        <item m="1" x="176"/>
        <item m="1" x="396"/>
        <item m="1" x="867"/>
        <item m="1" x="621"/>
        <item m="1" x="375"/>
        <item m="1" x="357"/>
        <item m="1" x="853"/>
        <item m="1" x="825"/>
        <item m="1" x="326"/>
        <item m="1" x="96"/>
        <item m="1" x="232"/>
        <item m="1" x="132"/>
        <item m="1" x="234"/>
        <item m="1" x="650"/>
        <item m="1" x="239"/>
        <item m="1" x="796"/>
        <item m="1" x="299"/>
        <item m="1" x="661"/>
        <item m="1" x="244"/>
        <item m="1" x="662"/>
        <item m="1" x="246"/>
        <item m="1" x="672"/>
        <item m="1" x="248"/>
        <item m="1" x="939"/>
        <item m="1" x="775"/>
        <item m="1" x="924"/>
        <item m="1" x="709"/>
        <item m="1" x="105"/>
        <item m="1" x="439"/>
        <item m="1" x="273"/>
        <item m="1" x="330"/>
        <item m="1" x="666"/>
        <item m="1" x="725"/>
        <item m="1" x="319"/>
        <item m="1" x="230"/>
        <item m="1" x="557"/>
        <item m="1" x="911"/>
        <item m="1" x="106"/>
        <item m="1" x="423"/>
        <item m="1" x="707"/>
        <item m="1" x="220"/>
        <item m="1" x="886"/>
        <item m="1" x="107"/>
        <item m="1" x="898"/>
        <item m="1" x="710"/>
        <item m="1" x="411"/>
        <item m="1" x="712"/>
        <item m="1" x="752"/>
        <item m="1" x="108"/>
        <item m="1" x="213"/>
        <item m="1" x="207"/>
        <item m="1" x="692"/>
        <item m="1" x="682"/>
        <item m="1" x="882"/>
        <item m="1" x="261"/>
        <item m="1" x="443"/>
        <item m="1" x="15"/>
        <item m="1" x="683"/>
        <item m="1" x="470"/>
        <item m="1" x="936"/>
        <item m="1" x="201"/>
        <item m="1" x="733"/>
        <item m="1" x="817"/>
        <item m="1" x="713"/>
        <item m="1" x="110"/>
        <item m="1" x="113"/>
        <item m="1" x="398"/>
        <item m="1" x="452"/>
        <item m="1" x="745"/>
        <item m="1" x="242"/>
        <item m="1" x="714"/>
        <item m="1" x="722"/>
        <item m="1" x="228"/>
        <item m="1" x="436"/>
        <item m="1" x="921"/>
        <item m="1" x="117"/>
        <item m="1" x="565"/>
        <item m="1" x="718"/>
        <item m="1" x="421"/>
        <item m="1" x="909"/>
        <item m="1" x="218"/>
        <item m="1" x="705"/>
        <item m="1" x="665"/>
        <item m="1" x="619"/>
        <item m="1" x="897"/>
        <item m="1" x="410"/>
        <item m="1" x="724"/>
        <item m="1" x="198"/>
        <item m="1" x="696"/>
        <item m="1" x="728"/>
        <item m="1" x="460"/>
        <item m="1" x="730"/>
        <item m="1" x="573"/>
        <item m="1" x="27"/>
        <item m="1" x="766"/>
        <item m="1" x="487"/>
        <item m="1" x="346"/>
        <item m="1" x="579"/>
        <item m="1" x="349"/>
        <item m="1" x="262"/>
        <item m="1" x="351"/>
        <item m="1" x="933"/>
        <item m="1" x="13"/>
        <item m="1" x="673"/>
        <item m="1" x="449"/>
        <item m="1" x="240"/>
        <item m="1" x="741"/>
        <item m="1" x="919"/>
        <item m="1" x="584"/>
        <item m="1" x="719"/>
        <item m="1" x="225"/>
        <item m="1" x="434"/>
        <item m="1" x="587"/>
        <item m="1" x="216"/>
        <item m="1" x="908"/>
        <item m="1" x="32"/>
        <item m="1" x="679"/>
        <item m="1" x="40"/>
        <item m="1" x="590"/>
        <item m="1" x="352"/>
        <item m="1" x="889"/>
        <item m="1" x="681"/>
        <item m="1" x="498"/>
        <item m="1" x="763"/>
        <item m="1" x="360"/>
        <item m="1" x="285"/>
        <item m="1" x="254"/>
        <item m="1" x="259"/>
        <item m="1" x="594"/>
        <item m="1" x="9"/>
        <item m="1" x="482"/>
        <item m="1" x="366"/>
        <item m="1" x="370"/>
        <item m="1" x="657"/>
        <item m="1" x="237"/>
        <item m="1" x="739"/>
        <item m="1" x="223"/>
        <item m="1" x="716"/>
        <item m="1" x="931"/>
        <item m="1" x="464"/>
        <item m="1" x="80"/>
        <item m="1" x="372"/>
        <item m="1" x="192"/>
        <item m="1" x="185"/>
        <item m="1" x="271"/>
        <item m="1" x="918"/>
        <item m="1" x="447"/>
        <item m="1" x="433"/>
        <item m="1" x="419"/>
        <item m="1" x="702"/>
        <item m="1" x="215"/>
        <item m="1" x="55"/>
        <item m="1" x="53"/>
        <item m="1" x="781"/>
        <item m="1" x="409"/>
        <item m="1" x="84"/>
        <item m="1" x="659"/>
        <item m="1" x="510"/>
        <item m="1" x="88"/>
        <item m="1" x="37"/>
        <item m="1" x="282"/>
        <item m="1" x="195"/>
        <item m="1" x="495"/>
        <item m="1" x="760"/>
        <item m="1" x="257"/>
        <item m="1" x="378"/>
        <item m="1" x="816"/>
        <item m="1" x="22"/>
        <item m="1" x="660"/>
        <item m="1" x="89"/>
        <item m="1" x="820"/>
        <item m="1" x="479"/>
        <item m="1" x="463"/>
        <item m="1" x="822"/>
        <item m="1" x="7"/>
        <item m="1" x="427"/>
        <item m="1" x="736"/>
        <item m="1" x="92"/>
        <item m="1" x="196"/>
        <item m="1" x="823"/>
        <item m="1" x="667"/>
        <item m="1" x="582"/>
        <item m="1" x="930"/>
        <item m="1" x="298"/>
        <item m="1" x="828"/>
        <item m="1" x="206"/>
        <item m="1" x="627"/>
        <item m="1" x="235"/>
        <item m="1" x="446"/>
        <item m="1" x="715"/>
        <item m="1" x="66"/>
        <item m="1" x="528"/>
        <item m="1" x="93"/>
        <item m="1" x="726"/>
        <item m="1" x="182"/>
        <item m="1" x="835"/>
        <item m="1" x="222"/>
        <item m="1" x="840"/>
        <item m="1" x="399"/>
        <item m="1" x="837"/>
        <item m="1" x="843"/>
        <item m="1" x="95"/>
        <item m="1" x="51"/>
        <item m="1" x="337"/>
        <item m="1" x="638"/>
        <item m="1" x="508"/>
        <item m="1" x="99"/>
        <item m="1" x="309"/>
        <item m="1" x="806"/>
        <item m="1" x="780"/>
        <item m="1" x="844"/>
        <item m="1" x="541"/>
        <item m="1" x="493"/>
        <item m="1" x="846"/>
        <item m="1" x="35"/>
        <item m="1" x="20"/>
        <item m="1" x="279"/>
        <item m="1" x="544"/>
        <item m="1" x="476"/>
        <item m="1" x="255"/>
        <item m="1" x="758"/>
        <item m="1" x="6"/>
        <item m="1" x="735"/>
        <item m="1" x="896"/>
        <item m="1" x="321"/>
        <item m="1" x="643"/>
        <item m="1" x="550"/>
        <item m="1" x="189"/>
        <item m="1" x="313"/>
        <item m="1" x="678"/>
        <item m="1" x="233"/>
        <item m="1" x="62"/>
        <item m="1" x="174"/>
        <item m="1" x="858"/>
        <item m="1" x="363"/>
        <item m="1" x="323"/>
        <item m="1" x="548"/>
        <item m="1" x="555"/>
        <item m="1" x="832"/>
        <item m="1" x="558"/>
        <item m="1" x="561"/>
        <item m="1" x="801"/>
        <item m="1" x="333"/>
        <item m="1" x="900"/>
        <item m="1" x="524"/>
        <item m="1" x="647"/>
        <item m="1" x="324"/>
        <item m="1" x="304"/>
        <item m="1" x="506"/>
        <item m="1" x="49"/>
        <item m="1" x="680"/>
        <item m="1" x="902"/>
        <item m="1" x="329"/>
        <item m="1" x="485"/>
        <item m="1" x="711"/>
        <item m="1" x="276"/>
        <item m="1" x="535"/>
        <item m="1" x="515"/>
        <item m="1" x="562"/>
        <item m="1" x="336"/>
        <item m="1" x="341"/>
        <item m="1" x="755"/>
        <item m="1" x="19"/>
        <item m="1" x="475"/>
        <item m="1" x="564"/>
        <item m="1" x="457"/>
        <item m="1" x="100"/>
        <item m="1" x="252"/>
        <item m="1" x="569"/>
        <item m="1" x="876"/>
        <item m="1" x="122"/>
        <item m="1" x="187"/>
        <item m="1" x="386"/>
        <item m="1" x="83"/>
        <item m="1" x="59"/>
        <item m="1" x="177"/>
        <item m="1" x="221"/>
        <item m="1" x="161"/>
        <item m="1" x="343"/>
        <item m="1" x="345"/>
        <item m="1" x="684"/>
        <item m="1" x="408"/>
        <item m="1" x="69"/>
        <item m="1" x="348"/>
        <item m="1" x="429"/>
        <item m="1" x="293"/>
        <item m="1" x="469"/>
        <item m="1" x="12"/>
        <item m="1" x="81"/>
        <item m="1" x="570"/>
        <item m="1" x="829"/>
        <item m="1" x="61"/>
        <item m="1" x="331"/>
        <item m="1" x="65"/>
        <item m="1" x="545"/>
        <item m="1" x="521"/>
        <item m="1" x="792"/>
        <item m="1" x="547"/>
        <item m="1" x="794"/>
        <item m="1" x="799"/>
        <item m="1" x="47"/>
        <item m="1" x="556"/>
        <item m="1" x="302"/>
        <item m="1" x="795"/>
        <item m="1" x="504"/>
        <item m="1" x="72"/>
        <item m="1" x="798"/>
        <item m="1" x="777"/>
        <item m="1" x="33"/>
        <item m="1" x="654"/>
        <item m="1" x="491"/>
        <item m="1" x="890"/>
        <item m="1" x="403"/>
        <item m="1" x="275"/>
        <item m="1" x="873"/>
        <item m="1" x="942"/>
        <item m="1" x="75"/>
        <item m="1" x="458"/>
        <item m="1" x="442"/>
        <item m="1" x="927"/>
        <item m="1" x="183"/>
        <item m="1" x="804"/>
        <item m="1" x="914"/>
        <item m="1" x="854"/>
        <item m="1" x="605"/>
        <item m="1" x="76"/>
        <item m="1" x="127"/>
        <item m="1" x="77"/>
        <item m="1" x="426"/>
        <item m="1" x="901"/>
        <item m="1" x="826"/>
        <item m="1" x="810"/>
        <item m="1" x="358"/>
        <item m="1" x="200"/>
        <item m="1" x="868"/>
        <item m="1" x="327"/>
        <item m="1" x="414"/>
        <item m="1" x="797"/>
        <item m="1" x="78"/>
        <item m="1" x="397"/>
        <item m="1" x="17"/>
        <item m="1" x="300"/>
        <item m="1" x="473"/>
        <item m="1" x="814"/>
        <item m="1" x="79"/>
        <item m="1" x="884"/>
        <item m="1" x="904"/>
        <item m="1" x="186"/>
        <item m="1" x="416"/>
        <item m="1" x="887"/>
        <item m="1" x="815"/>
        <item m="1" x="819"/>
        <item m="1" x="401"/>
        <item m="1" x="940"/>
        <item m="1" x="872"/>
        <item m="1" x="292"/>
        <item m="1" x="382"/>
        <item m="1" x="455"/>
        <item m="1" x="602"/>
        <item m="1" x="925"/>
        <item m="1" x="516"/>
        <item m="1" x="440"/>
        <item m="1" x="520"/>
        <item m="1" x="912"/>
        <item m="1" x="850"/>
        <item m="1" x="295"/>
        <item m="1" x="160"/>
        <item m="1" x="527"/>
        <item m="1" x="899"/>
        <item m="1" x="354"/>
        <item m="1" x="824"/>
        <item m="1" x="424"/>
        <item m="1" x="296"/>
        <item m="1" x="325"/>
        <item m="1" x="412"/>
        <item m="1" x="297"/>
        <item m="1" x="768"/>
        <item m="1" x="266"/>
        <item m="1" x="675"/>
        <item m="1" x="29"/>
        <item m="1" x="46"/>
        <item m="1" x="489"/>
        <item m="1" x="746"/>
        <item m="1" x="609"/>
        <item m="1" x="16"/>
        <item m="1" x="471"/>
        <item m="1" x="533"/>
        <item m="1" x="536"/>
        <item m="1" x="937"/>
        <item m="1" x="243"/>
        <item m="1" x="229"/>
        <item m="1" x="723"/>
        <item m="1" x="301"/>
        <item m="1" x="428"/>
        <item m="1" x="706"/>
        <item m="1" x="537"/>
        <item m="1" x="308"/>
        <item m="1" x="655"/>
        <item m="1" x="219"/>
        <item m="1" x="453"/>
        <item m="1" x="538"/>
        <item m="1" x="539"/>
        <item m="1" x="568"/>
        <item m="1" x="697"/>
        <item m="1" x="312"/>
        <item m="1" x="613"/>
        <item m="1" x="318"/>
        <item m="1" x="922"/>
        <item m="1" x="437"/>
        <item m="1" x="910"/>
        <item m="1" x="422"/>
        <item m="1" x="322"/>
        <item m="1" x="320"/>
        <item m="1" x="786"/>
        <item m="1" x="212"/>
        <item m="1" x="459"/>
        <item m="1" x="540"/>
        <item m="1" x="43"/>
        <item m="1" x="287"/>
        <item m="1" x="686"/>
        <item m="1" x="263"/>
        <item m="1" x="543"/>
        <item m="1" x="742"/>
        <item m="1" x="501"/>
        <item m="1" x="28"/>
        <item m="1" x="488"/>
        <item m="1" x="241"/>
        <item m="1" x="770"/>
        <item m="1" x="467"/>
        <item m="1" x="934"/>
        <item m="1" x="145"/>
        <item m="1" x="165"/>
        <item m="1" x="849"/>
        <item m="1" x="720"/>
        <item m="1" x="226"/>
        <item m="1" x="704"/>
        <item m="1" x="772"/>
        <item m="1" x="773"/>
        <item m="1" x="146"/>
        <item m="1" x="450"/>
        <item m="1" x="920"/>
        <item m="1" x="181"/>
        <item m="1" x="478"/>
        <item m="1" x="626"/>
        <item m="1" x="217"/>
        <item m="1" x="204"/>
        <item m="1" x="774"/>
        <item m="1" x="486"/>
        <item m="1" x="184"/>
        <item m="1" x="811"/>
        <item m="1" x="314"/>
        <item m="1" x="168"/>
        <item m="1" x="435"/>
        <item m="1" x="149"/>
        <item m="1" x="512"/>
        <item m="1" x="784"/>
        <item m="1" x="150"/>
        <item m="1" x="41"/>
        <item m="1" x="764"/>
        <item m="1" x="153"/>
        <item m="1" x="499"/>
        <item m="1" x="260"/>
        <item m="1" x="776"/>
        <item m="1" x="740"/>
        <item m="1" x="631"/>
        <item m="1" x="779"/>
        <item m="1" x="238"/>
        <item m="1" x="503"/>
        <item m="1" x="291"/>
        <item m="1" x="188"/>
        <item m="1" x="519"/>
        <item m="1" x="154"/>
        <item m="1" x="483"/>
        <item m="1" x="25"/>
        <item m="1" x="783"/>
        <item m="1" x="717"/>
        <item m="1" x="170"/>
        <item m="1" x="10"/>
        <item m="1" x="788"/>
        <item m="1" x="790"/>
        <item m="1" x="465"/>
        <item m="1" x="157"/>
        <item m="1" x="224"/>
        <item m="1" x="839"/>
        <item m="1" x="340"/>
        <item m="1" x="791"/>
        <item m="1" x="158"/>
        <item m="1" x="932"/>
        <item m="1" x="809"/>
        <item m="1" x="634"/>
        <item m="1" x="70"/>
        <item m="1" x="448"/>
        <item m="1" x="267"/>
        <item m="1" x="637"/>
        <item m="1" x="668"/>
        <item m="1" x="368"/>
        <item m="1" x="531"/>
        <item m="1" x="194"/>
        <item m="1" x="943"/>
        <item m="1" x="782"/>
        <item m="1" x="676"/>
        <item m="1" x="595"/>
        <item m="1" x="870"/>
        <item m="1" x="231"/>
        <item m="1" x="640"/>
        <item m="1" x="38"/>
        <item m="1" x="270"/>
        <item m="1" x="496"/>
        <item m="1" x="761"/>
        <item m="1" x="642"/>
        <item m="1" x="23"/>
        <item m="1" x="596"/>
        <item m="1" x="737"/>
        <item m="1" x="236"/>
        <item m="1" x="8"/>
        <item m="1" x="863"/>
        <item m="1" x="480"/>
        <item m="1" x="644"/>
        <item m="1" x="272"/>
        <item m="1" x="85"/>
        <item m="1" x="552"/>
        <item m="1" x="367"/>
        <item m="1" x="646"/>
        <item m="1" x="648"/>
        <item m="1" x="171"/>
        <item m="1" x="838"/>
        <item m="1" x="67"/>
        <item m="1" x="338"/>
        <item m="1" x="649"/>
        <item m="1" x="274"/>
        <item m="1" x="807"/>
        <item m="1" x="560"/>
        <item m="1" x="670"/>
        <item m="1" x="310"/>
        <item m="1" x="529"/>
        <item m="1" x="353"/>
        <item m="1" x="52"/>
        <item m="1" x="651"/>
        <item m="1" x="861"/>
        <item m="1" x="278"/>
        <item m="1" x="284"/>
        <item m="1" x="509"/>
        <item m="1" x="173"/>
        <item m="1" x="652"/>
        <item m="1" x="36"/>
        <item m="1" x="280"/>
        <item m="1" x="759"/>
        <item m="1" x="199"/>
        <item m="1" x="256"/>
        <item m="1" x="289"/>
        <item m="1" x="494"/>
        <item m="1" x="580"/>
        <item m="1" x="21"/>
        <item m="1" x="879"/>
        <item m="1" x="390"/>
        <item m="1" x="477"/>
        <item m="1" x="124"/>
        <item m="1" x="892"/>
        <item m="1" x="103"/>
        <item m="1" x="859"/>
        <item m="1" x="653"/>
        <item m="1" x="572"/>
        <item m="1" x="364"/>
        <item m="1" x="833"/>
        <item m="1" x="130"/>
        <item m="1" x="549"/>
        <item m="1" x="214"/>
        <item m="1" x="334"/>
        <item m="1" x="175"/>
        <item m="1" x="63"/>
        <item m="1" x="802"/>
        <item m="1" x="305"/>
        <item m="1" x="290"/>
        <item m="1" x="629"/>
        <item m="1" x="778"/>
        <item m="1" x="574"/>
        <item m="1" x="674"/>
        <item m="1" x="277"/>
        <item m="1" x="135"/>
        <item m="1" x="137"/>
        <item m="1" x="525"/>
        <item m="1" x="50"/>
        <item m="1" x="136"/>
        <item m="1" x="893"/>
        <item m="1" x="143"/>
        <item m="1" x="294"/>
        <item m="1" x="750"/>
        <item m="1" x="405"/>
        <item m="1" x="507"/>
        <item m="1" x="34"/>
        <item m="1" x="841"/>
        <item m="1" x="138"/>
        <item m="1" x="748"/>
        <item m="1" x="585"/>
        <item m="1" x="139"/>
        <item m="1" x="751"/>
        <item m="1" x="753"/>
        <item m="1" x="148"/>
        <item m="1" x="492"/>
        <item m="1" x="387"/>
        <item m="1" x="855"/>
        <item m="1" x="754"/>
        <item m="1" x="762"/>
        <item m="1" x="756"/>
        <item m="1" x="118"/>
        <item m="1" x="361"/>
        <item m="1" x="598"/>
        <item m="1" x="698"/>
        <item m="1" x="767"/>
        <item m="1" x="152"/>
        <item m="1" x="140"/>
        <item m="1" x="769"/>
        <item m="1" x="830"/>
        <item m="1" x="332"/>
        <item m="1" x="101"/>
        <item m="1" x="571"/>
        <item m="1" x="800"/>
        <item m="1" x="179"/>
        <item m="1" x="82"/>
        <item m="1" x="142"/>
        <item m="1" x="771"/>
        <item m="1" x="546"/>
        <item m="1" x="906"/>
        <item m="1" x="418"/>
        <item m="1" x="190"/>
        <item m="1" x="203"/>
        <item m="1" x="180"/>
        <item m="1" x="616"/>
        <item m="1" x="211"/>
        <item m="1" x="245"/>
        <item m="1" x="522"/>
        <item m="1" x="891"/>
        <item m="1" x="404"/>
        <item m="1" x="156"/>
        <item m="1" x="620"/>
        <item m="1" x="48"/>
        <item m="1" x="874"/>
        <item m="1" x="505"/>
        <item m="1" x="385"/>
        <item m="1" x="664"/>
        <item m="1" x="623"/>
        <item m="1" x="628"/>
        <item m="1" x="131"/>
        <item m="1" x="74"/>
        <item m="1" x="205"/>
        <item m="1" x="601"/>
        <item m="1" x="247"/>
        <item m="1" x="359"/>
        <item m="1" x="249"/>
        <item m="1" x="827"/>
        <item m="1" x="578"/>
        <item m="1" x="328"/>
        <item m="1" x="250"/>
        <item m="1" x="116"/>
        <item m="1" x="916"/>
        <item m="1" x="98"/>
        <item m="1" x="597"/>
        <item m="1" x="630"/>
        <item m="1" x="431"/>
        <item m="1" x="251"/>
        <item m="1" x="604"/>
        <item m="1" x="632"/>
        <item m="1" x="413"/>
        <item m="1" x="567"/>
        <item m="1" x="905"/>
        <item m="1" x="608"/>
        <item m="1" x="417"/>
        <item m="1" x="253"/>
        <item m="1" x="633"/>
        <item m="1" x="542"/>
        <item m="1" x="60"/>
        <item m="1" x="888"/>
        <item m="1" x="402"/>
        <item m="1" x="518"/>
        <item m="1" x="162"/>
        <item m="1" x="635"/>
        <item m="1" x="31"/>
        <item m="1" x="265"/>
        <item m="1" x="258"/>
        <item m="1" x="383"/>
        <item m="1" x="636"/>
        <item m="1" x="851"/>
        <item m="1" x="355"/>
        <item m="1" x="612"/>
        <item m="1" x="18"/>
        <item m="1" x="474"/>
        <item m="1" x="639"/>
        <item m="1" x="929"/>
        <item m="1" x="576"/>
        <item m="1" x="444"/>
        <item m="1" x="926"/>
        <item m="1" x="456"/>
        <item m="1" x="112"/>
        <item m="1" x="941"/>
        <item m="1" x="915"/>
        <item m="1" x="163"/>
        <item m="1" x="269"/>
        <item m="1" x="430"/>
        <item m="1" x="663"/>
        <item m="1" x="208"/>
        <item m="1" x="727"/>
        <item m="1" x="164"/>
        <item m="1" x="115"/>
        <item m="1" x="729"/>
        <item m="1" x="903"/>
        <item m="1" x="441"/>
        <item m="1" x="415"/>
        <item m="1" x="885"/>
        <item m="1" x="731"/>
        <item m="1" x="669"/>
        <item m="1" x="865"/>
        <item m="1" x="913"/>
        <item m="1" x="120"/>
        <item m="1" x="425"/>
        <item m="1" x="121"/>
        <item m="1" x="400"/>
        <item m="1" x="167"/>
        <item m="1" x="624"/>
        <item m="1" x="502"/>
        <item m="1" x="44"/>
        <item m="1" x="30"/>
        <item m="1" x="307"/>
        <item m="1" x="871"/>
        <item m="1" x="166"/>
        <item m="1" x="123"/>
        <item m="1" x="125"/>
        <item m="1" x="490"/>
        <item m="1" x="700"/>
        <item m="1" x="677"/>
        <item m="1" x="732"/>
        <item m="1" x="381"/>
        <item m="1" x="317"/>
        <item m="1" x="813"/>
        <item m="1" x="734"/>
        <item m="1" x="938"/>
        <item m="1" x="472"/>
        <item m="1" x="559"/>
        <item m="1" x="126"/>
        <item m="1" x="738"/>
        <item m="1" x="432"/>
        <item m="1" x="787"/>
        <item m="1" x="288"/>
        <item m="1" x="923"/>
        <item m="1" x="454"/>
        <item m="1" x="128"/>
        <item m="1" x="744"/>
        <item m="1" x="316"/>
        <item m="1" x="747"/>
        <item m="1" x="438"/>
        <item m="1" x="169"/>
        <item m="1" x="264"/>
        <item m="1" x="374"/>
        <item m="1" x="749"/>
        <item m="1" x="551"/>
        <item m="1" x="58"/>
        <item m="1" x="743"/>
        <item m="1" x="514"/>
        <item m="1" x="377"/>
        <item m="1" x="172"/>
        <item m="1" x="129"/>
        <item m="1" x="462"/>
        <item m="1" x="694"/>
        <item m="1" x="461"/>
        <item m="1" x="191"/>
        <item m="1" x="379"/>
        <item m="1" x="721"/>
        <item m="1" x="701"/>
        <item m="1" x="227"/>
        <item m="1" x="380"/>
        <item m="1" x="384"/>
        <item m="1" x="14"/>
        <item m="1" x="789"/>
        <item m="1" x="468"/>
        <item m="1" x="935"/>
        <item m="1" x="592"/>
        <item m="1" x="842"/>
        <item m="1" x="695"/>
        <item m="1" x="451"/>
        <item m="1" x="342"/>
        <item m="1" x="91"/>
        <item m="1" x="389"/>
        <item m="1" x="599"/>
        <item m="1" x="812"/>
        <item m="1" x="534"/>
        <item m="1" x="73"/>
        <item m="1" x="141"/>
        <item m="1" x="315"/>
        <item m="1" x="393"/>
        <item m="1" x="785"/>
        <item m="1" x="862"/>
        <item m="1" x="603"/>
        <item m="1" x="56"/>
        <item m="1" x="42"/>
        <item m="1" x="606"/>
        <item m="1" x="394"/>
        <item m="1" x="286"/>
        <item m="1" x="395"/>
        <item m="1" x="765"/>
        <item m="1" x="500"/>
        <item m="1" x="26"/>
        <item m="1" x="610"/>
        <item m="1" x="611"/>
        <item m="1" x="928"/>
        <item m="1" x="484"/>
        <item m="1" x="614"/>
        <item m="1" x="615"/>
        <item m="1" x="11"/>
        <item m="1" x="836"/>
        <item m="1" x="283"/>
        <item m="1" x="466"/>
        <item m="1" x="845"/>
        <item m="1" x="87"/>
        <item m="1" x="513"/>
        <item m="1" x="90"/>
        <item m="1" x="881"/>
        <item m="1" x="517"/>
        <item m="1" x="864"/>
        <item m="1" x="392"/>
        <item m="1" x="618"/>
        <item m="1" x="671"/>
        <item m="1" x="178"/>
        <item m="1" x="847"/>
        <item m="1" x="94"/>
        <item m="1" x="848"/>
        <item m="1" x="339"/>
        <item m="1" x="757"/>
        <item m="1" x="808"/>
        <item m="1" x="311"/>
        <item m="1" x="554"/>
        <item m="1" x="852"/>
        <item m="1" x="71"/>
        <item m="1" x="210"/>
        <item m="1" x="805"/>
        <item m="1" x="532"/>
        <item m="1" x="97"/>
        <item m="1" x="691"/>
        <item m="1" x="281"/>
        <item m="1" x="209"/>
        <item m="1" x="895"/>
        <item m="1" x="583"/>
        <item m="1" x="54"/>
        <item m="1" x="511"/>
        <item m="1" x="407"/>
        <item m="1" x="880"/>
        <item m="1" x="102"/>
        <item m="1" x="39"/>
        <item m="1" x="497"/>
        <item m="1" x="147"/>
        <item m="1" x="24"/>
        <item m="1" x="391"/>
        <item m="1" x="860"/>
        <item m="1" x="857"/>
        <item m="1" x="57"/>
        <item m="1" x="656"/>
        <item m="1" x="866"/>
        <item m="1" x="365"/>
        <item m="1" x="658"/>
        <item m="1" x="481"/>
        <item m="1" x="834"/>
        <item m="1" x="134"/>
        <item m="1" x="869"/>
        <item m="1" x="344"/>
        <item m="1" x="109"/>
        <item m="1" x="347"/>
        <item m="1" x="625"/>
        <item m="1" x="703"/>
        <item m="1" x="589"/>
        <item m="1" x="685"/>
        <item m="1" x="335"/>
        <item m="1" x="86"/>
        <item m="1" x="803"/>
        <item m="1" x="151"/>
        <item m="1" x="553"/>
        <item m="1" x="575"/>
        <item m="1" x="114"/>
        <item m="1" x="350"/>
        <item m="1" x="111"/>
        <item m="1" x="530"/>
        <item m="1" x="306"/>
        <item m="1" x="445"/>
        <item m="1" x="563"/>
        <item m="1" x="593"/>
        <item m="1" x="907"/>
        <item m="1" x="566"/>
        <item m="1" x="68"/>
        <item m="1" x="687"/>
        <item m="1" x="894"/>
        <item m="1" x="420"/>
        <item m="1" x="155"/>
        <item m="1" x="406"/>
        <item m="1" x="688"/>
        <item m="1" x="878"/>
        <item m="1" x="577"/>
        <item m="1" x="699"/>
        <item m="1" x="356"/>
        <item m="1" x="689"/>
        <item m="1" x="64"/>
        <item m="1" x="362"/>
        <item m="1" x="708"/>
        <item m="1" x="388"/>
        <item m="1" x="526"/>
        <item m="1" x="581"/>
        <item m="1" x="690"/>
        <item m="1" x="856"/>
        <item m="1" x="831"/>
        <item m="1" x="159"/>
        <item m="1" x="144"/>
        <item m="1" x="641"/>
        <item m="1" x="371"/>
        <item m="1" x="369"/>
        <item m="1" x="133"/>
        <item m="1" x="586"/>
        <item m="1" x="104"/>
        <item m="1" x="600"/>
        <item m="1" x="373"/>
        <item m="1" x="917"/>
        <item m="1" x="588"/>
        <item m="1" x="45"/>
        <item m="1" x="877"/>
        <item m="1" x="622"/>
        <item m="1" x="693"/>
        <item m="1" x="376"/>
        <item m="1" x="591"/>
        <item m="1" x="119"/>
        <item m="1" x="821"/>
        <item m="1" x="818"/>
        <item x="1"/>
        <item m="1" x="303"/>
        <item m="1" x="607"/>
        <item x="2"/>
        <item x="3"/>
        <item x="4"/>
        <item m="1" x="645"/>
      </items>
    </pivotField>
    <pivotField axis="axisRow" compact="0" outline="0" showAll="0" defaultSubtotal="0">
      <items count="858">
        <item x="3"/>
        <item x="2"/>
        <item m="1" x="438"/>
        <item m="1" x="382"/>
        <item m="1" x="790"/>
        <item m="1" x="631"/>
        <item m="1" x="531"/>
        <item x="0"/>
        <item m="1" x="760"/>
        <item m="1" x="378"/>
        <item m="1" x="781"/>
        <item m="1" x="403"/>
        <item m="1" x="12"/>
        <item m="1" x="10"/>
        <item m="1" x="166"/>
        <item m="1" x="455"/>
        <item m="1" x="415"/>
        <item m="1" x="243"/>
        <item m="1" x="840"/>
        <item m="1" x="424"/>
        <item m="1" x="115"/>
        <item m="1" x="262"/>
        <item x="9"/>
        <item m="1" x="712"/>
        <item m="1" x="732"/>
        <item m="1" x="290"/>
        <item m="1" x="263"/>
        <item m="1" x="717"/>
        <item m="1" x="385"/>
        <item m="1" x="238"/>
        <item m="1" x="332"/>
        <item m="1" x="283"/>
        <item m="1" x="345"/>
        <item m="1" x="557"/>
        <item m="1" x="714"/>
        <item m="1" x="321"/>
        <item m="1" x="509"/>
        <item m="1" x="682"/>
        <item m="1" x="725"/>
        <item m="1" x="317"/>
        <item m="1" x="500"/>
        <item m="1" x="560"/>
        <item m="1" x="294"/>
        <item m="1" x="773"/>
        <item m="1" x="586"/>
        <item m="1" x="639"/>
        <item m="1" x="720"/>
        <item m="1" x="478"/>
        <item m="1" x="160"/>
        <item m="1" x="797"/>
        <item m="1" x="356"/>
        <item m="1" x="268"/>
        <item x="7"/>
        <item m="1" x="812"/>
        <item m="1" x="205"/>
        <item m="1" x="634"/>
        <item m="1" x="791"/>
        <item m="1" x="629"/>
        <item m="1" x="568"/>
        <item m="1" x="267"/>
        <item m="1" x="231"/>
        <item m="1" x="845"/>
        <item m="1" x="493"/>
        <item m="1" x="767"/>
        <item m="1" x="103"/>
        <item m="1" x="821"/>
        <item m="1" x="277"/>
        <item m="1" x="270"/>
        <item m="1" x="484"/>
        <item m="1" x="66"/>
        <item m="1" x="591"/>
        <item m="1" x="445"/>
        <item m="1" x="161"/>
        <item m="1" x="774"/>
        <item m="1" x="476"/>
        <item m="1" x="155"/>
        <item m="1" x="420"/>
        <item m="1" x="702"/>
        <item m="1" x="562"/>
        <item m="1" x="504"/>
        <item m="1" x="435"/>
        <item m="1" x="344"/>
        <item m="1" x="339"/>
        <item m="1" x="133"/>
        <item m="1" x="677"/>
        <item m="1" x="852"/>
        <item m="1" x="589"/>
        <item m="1" x="98"/>
        <item m="1" x="603"/>
        <item m="1" x="31"/>
        <item m="1" x="505"/>
        <item m="1" x="501"/>
        <item m="1" x="707"/>
        <item m="1" x="244"/>
        <item m="1" x="64"/>
        <item m="1" x="523"/>
        <item m="1" x="729"/>
        <item m="1" x="350"/>
        <item m="1" x="432"/>
        <item m="1" x="331"/>
        <item m="1" x="804"/>
        <item m="1" x="678"/>
        <item m="1" x="301"/>
        <item m="1" x="761"/>
        <item m="1" x="777"/>
        <item m="1" x="470"/>
        <item m="1" x="619"/>
        <item m="1" x="40"/>
        <item m="1" x="727"/>
        <item m="1" x="159"/>
        <item m="1" x="265"/>
        <item m="1" x="217"/>
        <item m="1" x="24"/>
        <item m="1" x="326"/>
        <item m="1" x="134"/>
        <item m="1" x="233"/>
        <item m="1" x="16"/>
        <item m="1" x="699"/>
        <item m="1" x="532"/>
        <item m="1" x="752"/>
        <item m="1" x="799"/>
        <item m="1" x="488"/>
        <item m="1" x="466"/>
        <item m="1" x="457"/>
        <item m="1" x="576"/>
        <item m="1" x="709"/>
        <item m="1" x="89"/>
        <item m="1" x="49"/>
        <item m="1" x="312"/>
        <item m="1" x="180"/>
        <item m="1" x="216"/>
        <item m="1" x="338"/>
        <item m="1" x="527"/>
        <item m="1" x="428"/>
        <item m="1" x="608"/>
        <item m="1" x="642"/>
        <item m="1" x="731"/>
        <item m="1" x="130"/>
        <item m="1" x="173"/>
        <item m="1" x="768"/>
        <item m="1" x="337"/>
        <item m="1" x="219"/>
        <item m="1" x="605"/>
        <item m="1" x="594"/>
        <item m="1" x="150"/>
        <item m="1" x="691"/>
        <item m="1" x="665"/>
        <item m="1" x="222"/>
        <item m="1" x="318"/>
        <item m="1" x="203"/>
        <item m="1" x="686"/>
        <item m="1" x="352"/>
        <item m="1" x="293"/>
        <item m="1" x="316"/>
        <item m="1" x="654"/>
        <item m="1" x="52"/>
        <item m="1" x="343"/>
        <item m="1" x="46"/>
        <item m="1" x="834"/>
        <item m="1" x="775"/>
        <item m="1" x="802"/>
        <item m="1" x="117"/>
        <item m="1" x="690"/>
        <item m="1" x="798"/>
        <item m="1" x="615"/>
        <item m="1" x="483"/>
        <item m="1" x="365"/>
        <item m="1" x="278"/>
        <item m="1" x="666"/>
        <item m="1" x="715"/>
        <item m="1" x="320"/>
        <item m="1" x="723"/>
        <item m="1" x="745"/>
        <item m="1" x="818"/>
        <item m="1" x="250"/>
        <item m="1" x="610"/>
        <item m="1" x="302"/>
        <item m="1" x="282"/>
        <item m="1" x="541"/>
        <item m="1" x="172"/>
        <item m="1" x="374"/>
        <item m="1" x="372"/>
        <item m="1" x="521"/>
        <item m="1" x="779"/>
        <item m="1" x="17"/>
        <item m="1" x="373"/>
        <item m="1" x="291"/>
        <item m="1" x="384"/>
        <item m="1" x="721"/>
        <item m="1" x="833"/>
        <item m="1" x="100"/>
        <item m="1" x="400"/>
        <item m="1" x="167"/>
        <item m="1" x="817"/>
        <item m="1" x="516"/>
        <item m="1" x="393"/>
        <item m="1" x="310"/>
        <item m="1" x="106"/>
        <item m="1" x="112"/>
        <item m="1" x="260"/>
        <item m="1" x="140"/>
        <item m="1" x="386"/>
        <item m="1" x="765"/>
        <item m="1" x="848"/>
        <item m="1" x="508"/>
        <item m="1" x="118"/>
        <item m="1" x="164"/>
        <item m="1" x="199"/>
        <item m="1" x="236"/>
        <item m="1" x="474"/>
        <item m="1" x="479"/>
        <item m="1" x="751"/>
        <item m="1" x="125"/>
        <item m="1" x="780"/>
        <item m="1" x="658"/>
        <item m="1" x="176"/>
        <item m="1" x="649"/>
        <item m="1" x="513"/>
        <item m="1" x="570"/>
        <item m="1" x="676"/>
        <item m="1" x="697"/>
        <item m="1" x="706"/>
        <item m="1" x="300"/>
        <item m="1" x="38"/>
        <item m="1" x="447"/>
        <item m="1" x="170"/>
        <item x="5"/>
        <item m="1" x="252"/>
        <item m="1" x="284"/>
        <item m="1" x="537"/>
        <item m="1" x="303"/>
        <item m="1" x="850"/>
        <item m="1" x="453"/>
        <item m="1" x="590"/>
        <item m="1" x="13"/>
        <item m="1" x="348"/>
        <item m="1" x="687"/>
        <item m="1" x="722"/>
        <item m="1" x="292"/>
        <item m="1" x="214"/>
        <item m="1" x="485"/>
        <item x="4"/>
        <item m="1" x="811"/>
        <item m="1" x="701"/>
        <item m="1" x="65"/>
        <item m="1" x="839"/>
        <item m="1" x="67"/>
        <item m="1" x="724"/>
        <item m="1" x="19"/>
        <item m="1" x="206"/>
        <item m="1" x="458"/>
        <item m="1" x="669"/>
        <item m="1" x="357"/>
        <item m="1" x="708"/>
        <item m="1" x="569"/>
        <item m="1" x="743"/>
        <item m="1" x="311"/>
        <item m="1" x="546"/>
        <item m="1" x="314"/>
        <item m="1" x="787"/>
        <item m="1" x="351"/>
        <item m="1" x="234"/>
        <item m="1" x="487"/>
        <item m="1" x="730"/>
        <item m="1" x="600"/>
        <item m="1" x="336"/>
        <item m="1" x="341"/>
        <item m="1" x="733"/>
        <item m="1" x="633"/>
        <item m="1" x="575"/>
        <item m="1" x="688"/>
        <item m="1" x="229"/>
        <item m="1" x="700"/>
        <item m="1" x="836"/>
        <item m="1" x="259"/>
        <item m="1" x="673"/>
        <item m="1" x="347"/>
        <item m="1" x="847"/>
        <item m="1" x="801"/>
        <item m="1" x="377"/>
        <item m="1" x="664"/>
        <item m="1" x="650"/>
        <item m="1" x="511"/>
        <item m="1" x="772"/>
        <item m="1" x="187"/>
        <item m="1" x="246"/>
        <item m="1" x="213"/>
        <item m="1" x="578"/>
        <item m="1" x="408"/>
        <item m="1" x="465"/>
        <item m="1" x="461"/>
        <item m="1" x="146"/>
        <item m="1" x="436"/>
        <item m="1" x="492"/>
        <item m="1" x="45"/>
        <item m="1" x="744"/>
        <item m="1" x="33"/>
        <item m="1" x="507"/>
        <item m="1" x="412"/>
        <item m="1" x="851"/>
        <item m="1" x="123"/>
        <item m="1" x="410"/>
        <item m="1" x="692"/>
        <item m="1" x="480"/>
        <item m="1" x="322"/>
        <item m="1" x="449"/>
        <item m="1" x="157"/>
        <item m="1" x="646"/>
        <item m="1" x="23"/>
        <item m="1" x="439"/>
        <item m="1" x="109"/>
        <item m="1" x="530"/>
        <item m="1" x="129"/>
        <item m="1" x="637"/>
        <item m="1" x="91"/>
        <item m="1" x="566"/>
        <item m="1" x="275"/>
        <item m="1" x="151"/>
        <item m="1" x="131"/>
        <item m="1" x="324"/>
        <item m="1" x="108"/>
        <item m="1" x="82"/>
        <item m="1" x="57"/>
        <item m="1" x="323"/>
        <item m="1" x="599"/>
        <item m="1" x="741"/>
        <item m="1" x="450"/>
        <item m="1" x="710"/>
        <item m="1" x="110"/>
        <item m="1" x="289"/>
        <item m="1" x="78"/>
        <item m="1" x="750"/>
        <item m="1" x="380"/>
        <item m="1" x="361"/>
        <item x="6"/>
        <item m="1" x="573"/>
        <item m="1" x="370"/>
        <item m="1" x="698"/>
        <item m="1" x="429"/>
        <item m="1" x="239"/>
        <item m="1" x="20"/>
        <item m="1" x="200"/>
        <item m="1" x="842"/>
        <item m="1" x="346"/>
        <item m="1" x="240"/>
        <item m="1" x="746"/>
        <item m="1" x="308"/>
        <item m="1" x="192"/>
        <item m="1" x="55"/>
        <item m="1" x="854"/>
        <item m="1" x="95"/>
        <item m="1" x="144"/>
        <item m="1" x="681"/>
        <item m="1" x="696"/>
        <item m="1" x="304"/>
        <item m="1" x="174"/>
        <item x="8"/>
        <item m="1" x="571"/>
        <item m="1" x="838"/>
        <item m="1" x="306"/>
        <item m="1" x="609"/>
        <item m="1" x="183"/>
        <item m="1" x="280"/>
        <item m="1" x="632"/>
        <item m="1" x="124"/>
        <item m="1" x="127"/>
        <item m="1" x="190"/>
        <item m="1" x="26"/>
        <item m="1" x="844"/>
        <item m="1" x="837"/>
        <item m="1" x="819"/>
        <item m="1" x="362"/>
        <item m="1" x="177"/>
        <item m="1" x="197"/>
        <item m="1" x="169"/>
        <item m="1" x="132"/>
        <item m="1" x="510"/>
        <item m="1" x="227"/>
        <item m="1" x="553"/>
        <item m="1" x="307"/>
        <item m="1" x="256"/>
        <item m="1" x="232"/>
        <item m="1" x="182"/>
        <item m="1" x="685"/>
        <item m="1" x="749"/>
        <item m="1" x="48"/>
        <item m="1" x="186"/>
        <item m="1" x="281"/>
        <item m="1" x="635"/>
        <item m="1" x="113"/>
        <item m="1" x="735"/>
        <item m="1" x="849"/>
        <item m="1" x="579"/>
        <item m="1" x="25"/>
        <item m="1" x="298"/>
        <item m="1" x="327"/>
        <item m="1" x="597"/>
        <item m="1" x="494"/>
        <item m="1" x="540"/>
        <item m="1" x="473"/>
        <item m="1" x="358"/>
        <item m="1" x="56"/>
        <item m="1" x="148"/>
        <item m="1" x="51"/>
        <item m="1" x="794"/>
        <item m="1" x="810"/>
        <item m="1" x="359"/>
        <item m="1" x="237"/>
        <item m="1" x="800"/>
        <item m="1" x="235"/>
        <item m="1" x="467"/>
        <item m="1" x="333"/>
        <item m="1" x="319"/>
        <item m="1" x="446"/>
        <item m="1" x="111"/>
        <item m="1" x="61"/>
        <item m="1" x="396"/>
        <item m="1" x="762"/>
        <item m="1" x="653"/>
        <item m="1" x="299"/>
        <item m="1" x="418"/>
        <item m="1" x="104"/>
        <item m="1" x="43"/>
        <item m="1" x="349"/>
        <item m="1" x="328"/>
        <item m="1" x="68"/>
        <item m="1" x="554"/>
        <item m="1" x="402"/>
        <item m="1" x="181"/>
        <item m="1" x="657"/>
        <item m="1" x="490"/>
        <item m="1" x="520"/>
        <item m="1" x="83"/>
        <item m="1" x="14"/>
        <item m="1" x="477"/>
        <item m="1" x="806"/>
        <item m="1" x="517"/>
        <item m="1" x="80"/>
        <item m="1" x="823"/>
        <item m="1" x="411"/>
        <item m="1" x="383"/>
        <item m="1" x="524"/>
        <item m="1" x="456"/>
        <item m="1" x="601"/>
        <item m="1" x="230"/>
        <item m="1" x="315"/>
        <item m="1" x="422"/>
        <item m="1" x="626"/>
        <item m="1" x="529"/>
        <item m="1" x="30"/>
        <item m="1" x="728"/>
        <item m="1" x="747"/>
        <item m="1" x="255"/>
        <item m="1" x="756"/>
        <item m="1" x="138"/>
        <item m="1" x="32"/>
        <item m="1" x="795"/>
        <item m="1" x="210"/>
        <item m="1" x="596"/>
        <item m="1" x="116"/>
        <item m="1" x="769"/>
        <item m="1" x="618"/>
        <item m="1" x="452"/>
        <item m="1" x="651"/>
        <item m="1" x="809"/>
        <item m="1" x="716"/>
        <item m="1" x="171"/>
        <item m="1" x="271"/>
        <item m="1" x="514"/>
        <item m="1" x="276"/>
        <item m="1" x="272"/>
        <item m="1" x="803"/>
        <item m="1" x="662"/>
        <item m="1" x="776"/>
        <item m="1" x="598"/>
        <item m="1" x="704"/>
        <item m="1" x="143"/>
        <item m="1" x="392"/>
        <item m="1" x="388"/>
        <item m="1" x="496"/>
        <item m="1" x="740"/>
        <item m="1" x="85"/>
        <item m="1" x="433"/>
        <item m="1" x="454"/>
        <item m="1" x="70"/>
        <item m="1" x="175"/>
        <item m="1" x="363"/>
        <item m="1" x="135"/>
        <item m="1" x="549"/>
        <item m="1" x="471"/>
        <item m="1" x="574"/>
        <item m="1" x="522"/>
        <item m="1" x="518"/>
        <item m="1" x="220"/>
        <item m="1" x="822"/>
        <item m="1" x="641"/>
        <item m="1" x="757"/>
        <item m="1" x="643"/>
        <item m="1" x="401"/>
        <item m="1" x="107"/>
        <item m="1" x="71"/>
        <item m="1" x="443"/>
        <item m="1" x="286"/>
        <item m="1" x="426"/>
        <item m="1" x="705"/>
        <item m="1" x="153"/>
        <item m="1" x="335"/>
        <item m="1" x="561"/>
        <item x="1"/>
        <item m="1" x="748"/>
        <item m="1" x="782"/>
        <item m="1" x="813"/>
        <item m="1" x="711"/>
        <item m="1" x="193"/>
        <item m="1" x="191"/>
        <item m="1" x="425"/>
        <item m="1" x="264"/>
        <item m="1" x="29"/>
        <item m="1" x="827"/>
        <item m="1" x="35"/>
        <item m="1" x="141"/>
        <item m="1" x="242"/>
        <item m="1" x="667"/>
        <item m="1" x="209"/>
        <item m="1" x="407"/>
        <item m="1" x="22"/>
        <item m="1" x="145"/>
        <item m="1" x="27"/>
        <item m="1" x="805"/>
        <item m="1" x="354"/>
        <item m="1" x="269"/>
        <item m="1" x="60"/>
        <item m="1" x="538"/>
        <item m="1" x="297"/>
        <item m="1" x="201"/>
        <item m="1" x="102"/>
        <item m="1" x="719"/>
        <item m="1" x="441"/>
        <item m="1" x="63"/>
        <item m="1" x="736"/>
        <item m="1" x="285"/>
        <item m="1" x="245"/>
        <item m="1" x="194"/>
        <item m="1" x="506"/>
        <item m="1" x="295"/>
        <item m="1" x="218"/>
        <item m="1" x="119"/>
        <item m="1" x="189"/>
        <item m="1" x="544"/>
        <item m="1" x="221"/>
        <item m="1" x="624"/>
        <item m="1" x="249"/>
        <item m="1" x="824"/>
        <item m="1" x="369"/>
        <item m="1" x="552"/>
        <item m="1" x="655"/>
        <item m="1" x="652"/>
        <item m="1" x="88"/>
        <item m="1" x="684"/>
        <item m="1" x="421"/>
        <item m="1" x="636"/>
        <item m="1" x="414"/>
        <item m="1" x="427"/>
        <item m="1" x="329"/>
        <item m="1" x="713"/>
        <item m="1" x="90"/>
        <item m="1" x="162"/>
        <item m="1" x="228"/>
        <item m="1" x="828"/>
        <item m="1" x="211"/>
        <item m="1" x="451"/>
        <item m="1" x="808"/>
        <item m="1" x="582"/>
        <item m="1" x="595"/>
        <item m="1" x="416"/>
        <item m="1" x="398"/>
        <item m="1" x="825"/>
        <item m="1" x="84"/>
        <item m="1" x="539"/>
        <item m="1" x="226"/>
        <item m="1" x="785"/>
        <item m="1" x="542"/>
        <item m="1" x="188"/>
        <item m="1" x="195"/>
        <item m="1" x="121"/>
        <item m="1" x="661"/>
        <item m="1" x="96"/>
        <item m="1" x="42"/>
        <item m="1" x="648"/>
        <item m="1" x="830"/>
        <item m="1" x="120"/>
        <item m="1" x="742"/>
        <item m="1" x="74"/>
        <item m="1" x="683"/>
        <item m="1" x="567"/>
        <item m="1" x="224"/>
        <item m="1" x="223"/>
        <item m="1" x="555"/>
        <item m="1" x="81"/>
        <item m="1" x="423"/>
        <item m="1" x="86"/>
        <item m="1" x="622"/>
        <item m="1" x="526"/>
        <item m="1" x="288"/>
        <item m="1" x="564"/>
        <item m="1" x="215"/>
        <item m="1" x="309"/>
        <item m="1" x="342"/>
        <item m="1" x="334"/>
        <item m="1" x="857"/>
        <item m="1" x="54"/>
        <item m="1" x="430"/>
        <item m="1" x="101"/>
        <item m="1" x="815"/>
        <item m="1" x="34"/>
        <item m="1" x="58"/>
        <item m="1" x="202"/>
        <item m="1" x="660"/>
        <item m="1" x="533"/>
        <item m="1" x="572"/>
        <item m="1" x="437"/>
        <item m="1" x="659"/>
        <item m="1" x="366"/>
        <item m="1" x="37"/>
        <item m="1" x="462"/>
        <item m="1" x="606"/>
        <item m="1" x="726"/>
        <item m="1" x="313"/>
        <item m="1" x="207"/>
        <item m="1" x="18"/>
        <item m="1" x="53"/>
        <item m="1" x="519"/>
        <item m="1" x="528"/>
        <item m="1" x="184"/>
        <item m="1" x="832"/>
        <item m="1" x="672"/>
        <item m="1" x="399"/>
        <item m="1" x="139"/>
        <item m="1" x="75"/>
        <item m="1" x="771"/>
        <item m="1" x="481"/>
        <item m="1" x="644"/>
        <item m="1" x="675"/>
        <item m="1" x="368"/>
        <item m="1" x="792"/>
        <item m="1" x="261"/>
        <item m="1" x="759"/>
        <item m="1" x="515"/>
        <item m="1" x="550"/>
        <item m="1" x="41"/>
        <item m="1" x="489"/>
        <item m="1" x="305"/>
        <item m="1" x="829"/>
        <item m="1" x="21"/>
        <item m="1" x="154"/>
        <item m="1" x="766"/>
        <item m="1" x="375"/>
        <item m="1" x="835"/>
        <item m="1" x="621"/>
        <item m="1" x="28"/>
        <item m="1" x="670"/>
        <item m="1" x="158"/>
        <item m="1" x="330"/>
        <item m="1" x="364"/>
        <item m="1" x="734"/>
        <item m="1" x="73"/>
        <item m="1" x="87"/>
        <item m="1" x="212"/>
        <item m="1" x="208"/>
        <item m="1" x="602"/>
        <item m="1" x="680"/>
        <item m="1" x="340"/>
        <item m="1" x="371"/>
        <item m="1" x="789"/>
        <item m="1" x="273"/>
        <item m="1" x="607"/>
        <item m="1" x="763"/>
        <item m="1" x="679"/>
        <item m="1" x="93"/>
        <item m="1" x="856"/>
        <item m="1" x="360"/>
        <item m="1" x="251"/>
        <item m="1" x="163"/>
        <item m="1" x="502"/>
        <item m="1" x="274"/>
        <item m="1" x="577"/>
        <item m="1" x="266"/>
        <item m="1" x="545"/>
        <item m="1" x="122"/>
        <item m="1" x="486"/>
        <item m="1" x="786"/>
        <item m="1" x="204"/>
        <item m="1" x="503"/>
        <item m="1" x="625"/>
        <item m="1" x="390"/>
        <item m="1" x="296"/>
        <item m="1" x="389"/>
        <item m="1" x="472"/>
        <item m="1" x="841"/>
        <item m="1" x="379"/>
        <item m="1" x="198"/>
        <item m="1" x="620"/>
        <item m="1" x="671"/>
        <item m="1" x="512"/>
        <item m="1" x="413"/>
        <item m="1" x="588"/>
        <item m="1" x="623"/>
        <item m="1" x="397"/>
        <item m="1" x="156"/>
        <item m="1" x="247"/>
        <item m="1" x="39"/>
        <item m="1" x="72"/>
        <item m="1" x="44"/>
        <item m="1" x="551"/>
        <item m="1" x="668"/>
        <item m="1" x="168"/>
        <item m="1" x="225"/>
        <item m="1" x="381"/>
        <item m="1" x="147"/>
        <item m="1" x="406"/>
        <item m="1" x="126"/>
        <item m="1" x="718"/>
        <item m="1" x="165"/>
        <item m="1" x="464"/>
        <item m="1" x="258"/>
        <item m="1" x="587"/>
        <item m="1" x="689"/>
        <item m="1" x="241"/>
        <item m="1" x="616"/>
        <item m="1" x="248"/>
        <item m="1" x="491"/>
        <item m="1" x="463"/>
        <item m="1" x="764"/>
        <item m="1" x="279"/>
        <item m="1" x="254"/>
        <item m="1" x="674"/>
        <item m="1" x="638"/>
        <item m="1" x="584"/>
        <item m="1" x="656"/>
        <item m="1" x="647"/>
        <item m="1" x="136"/>
        <item m="1" x="92"/>
        <item m="1" x="142"/>
        <item m="1" x="826"/>
        <item m="1" x="534"/>
        <item m="1" x="367"/>
        <item m="1" x="846"/>
        <item m="1" x="592"/>
        <item m="1" x="179"/>
        <item m="1" x="796"/>
        <item m="1" x="737"/>
        <item m="1" x="581"/>
        <item m="1" x="663"/>
        <item m="1" x="353"/>
        <item m="1" x="355"/>
        <item m="1" x="178"/>
        <item m="1" x="149"/>
        <item m="1" x="325"/>
        <item m="1" x="152"/>
        <item m="1" x="617"/>
        <item m="1" x="611"/>
        <item m="1" x="628"/>
        <item m="1" x="287"/>
        <item m="1" x="137"/>
        <item m="1" x="196"/>
        <item m="1" x="783"/>
        <item m="1" x="627"/>
        <item m="1" x="543"/>
        <item m="1" x="755"/>
        <item m="1" x="36"/>
        <item m="1" x="593"/>
        <item m="1" x="820"/>
        <item m="1" x="525"/>
        <item m="1" x="563"/>
        <item m="1" x="583"/>
        <item m="1" x="77"/>
        <item m="1" x="105"/>
        <item m="1" x="185"/>
        <item m="1" x="99"/>
        <item m="1" x="614"/>
        <item m="1" x="419"/>
        <item m="1" x="442"/>
        <item m="1" x="391"/>
        <item m="1" x="778"/>
        <item m="1" x="640"/>
        <item m="1" x="114"/>
        <item m="1" x="695"/>
        <item m="1" x="475"/>
        <item m="1" x="76"/>
        <item m="1" x="604"/>
        <item m="1" x="97"/>
        <item m="1" x="376"/>
        <item m="1" x="128"/>
        <item m="1" x="59"/>
        <item m="1" x="738"/>
        <item m="1" x="694"/>
        <item m="1" x="434"/>
        <item m="1" x="409"/>
        <item m="1" x="444"/>
        <item m="1" x="495"/>
        <item m="1" x="469"/>
        <item m="1" x="753"/>
        <item m="1" x="536"/>
        <item m="1" x="548"/>
        <item m="1" x="47"/>
        <item m="1" x="770"/>
        <item m="1" x="630"/>
        <item m="1" x="613"/>
        <item m="1" x="793"/>
        <item m="1" x="62"/>
        <item m="1" x="440"/>
        <item m="1" x="612"/>
        <item m="1" x="79"/>
        <item m="1" x="559"/>
        <item m="1" x="693"/>
        <item m="1" x="50"/>
        <item m="1" x="739"/>
        <item m="1" x="11"/>
        <item m="1" x="69"/>
        <item m="1" x="387"/>
        <item m="1" x="497"/>
        <item m="1" x="816"/>
        <item m="1" x="448"/>
        <item m="1" x="482"/>
        <item m="1" x="547"/>
        <item m="1" x="498"/>
        <item m="1" x="15"/>
        <item m="1" x="843"/>
        <item m="1" x="784"/>
        <item m="1" x="94"/>
        <item m="1" x="855"/>
        <item m="1" x="499"/>
        <item m="1" x="459"/>
        <item m="1" x="556"/>
        <item m="1" x="645"/>
        <item m="1" x="758"/>
        <item m="1" x="585"/>
        <item m="1" x="460"/>
        <item m="1" x="257"/>
        <item m="1" x="253"/>
        <item m="1" x="580"/>
        <item m="1" x="565"/>
        <item m="1" x="394"/>
        <item m="1" x="468"/>
        <item m="1" x="535"/>
        <item m="1" x="417"/>
        <item m="1" x="831"/>
        <item m="1" x="703"/>
        <item m="1" x="814"/>
        <item m="1" x="853"/>
        <item m="1" x="807"/>
        <item m="1" x="431"/>
        <item m="1" x="754"/>
        <item m="1" x="405"/>
        <item m="1" x="404"/>
        <item m="1" x="788"/>
        <item m="1" x="395"/>
        <item m="1" x="558"/>
      </items>
    </pivotField>
    <pivotField axis="axisRow" compact="0" outline="0" showAll="0" defaultSubtotal="0">
      <items count="724">
        <item m="1" x="4"/>
        <item m="1" x="420"/>
        <item m="1" x="270"/>
        <item m="1" x="561"/>
        <item m="1" x="579"/>
        <item m="1" x="457"/>
        <item x="0"/>
        <item m="1" x="702"/>
        <item m="1" x="165"/>
        <item m="1" x="500"/>
        <item m="1" x="64"/>
        <item m="1" x="100"/>
        <item m="1" x="437"/>
        <item m="1" x="578"/>
        <item m="1" x="414"/>
        <item m="1" x="240"/>
        <item m="1" x="212"/>
        <item m="1" x="527"/>
        <item m="1" x="262"/>
        <item m="1" x="238"/>
        <item m="1" x="499"/>
        <item m="1" x="620"/>
        <item m="1" x="206"/>
        <item m="1" x="283"/>
        <item m="1" x="376"/>
        <item m="1" x="666"/>
        <item m="1" x="348"/>
        <item m="1" x="285"/>
        <item m="1" x="681"/>
        <item m="1" x="462"/>
        <item m="1" x="269"/>
        <item m="1" x="389"/>
        <item m="1" x="23"/>
        <item m="1" x="116"/>
        <item m="1" x="625"/>
        <item m="1" x="354"/>
        <item m="1" x="516"/>
        <item m="1" x="290"/>
        <item m="1" x="359"/>
        <item m="1" x="515"/>
        <item m="1" x="158"/>
        <item m="1" x="616"/>
        <item m="1" x="394"/>
        <item m="1" x="21"/>
        <item m="1" x="687"/>
        <item m="1" x="143"/>
        <item m="1" x="49"/>
        <item m="1" x="467"/>
        <item m="1" x="12"/>
        <item m="1" x="95"/>
        <item m="1" x="439"/>
        <item m="1" x="536"/>
        <item m="1" x="571"/>
        <item m="1" x="522"/>
        <item m="1" x="503"/>
        <item m="1" x="507"/>
        <item m="1" x="409"/>
        <item m="1" x="78"/>
        <item m="1" x="474"/>
        <item m="1" x="582"/>
        <item m="1" x="447"/>
        <item m="1" x="16"/>
        <item m="1" x="323"/>
        <item m="1" x="155"/>
        <item m="1" x="343"/>
        <item m="1" x="336"/>
        <item m="1" x="366"/>
        <item m="1" x="340"/>
        <item m="1" x="506"/>
        <item m="1" x="529"/>
        <item m="1" x="576"/>
        <item m="1" x="349"/>
        <item m="1" x="629"/>
        <item m="1" x="40"/>
        <item m="1" x="711"/>
        <item m="1" x="534"/>
        <item m="1" x="600"/>
        <item m="1" x="483"/>
        <item m="1" x="382"/>
        <item m="1" x="608"/>
        <item m="1" x="208"/>
        <item m="1" x="248"/>
        <item m="1" x="192"/>
        <item m="1" x="184"/>
        <item m="1" x="524"/>
        <item m="1" x="551"/>
        <item m="1" x="298"/>
        <item m="1" x="659"/>
        <item m="1" x="416"/>
        <item m="1" x="244"/>
        <item m="1" x="289"/>
        <item m="1" x="644"/>
        <item m="1" x="322"/>
        <item m="1" x="309"/>
        <item m="1" x="313"/>
        <item m="1" x="214"/>
        <item m="1" x="237"/>
        <item m="1" x="129"/>
        <item m="1" x="219"/>
        <item m="1" x="639"/>
        <item m="1" x="140"/>
        <item m="1" x="559"/>
        <item m="1" x="393"/>
        <item m="1" x="325"/>
        <item m="1" x="689"/>
        <item m="1" x="721"/>
        <item m="1" x="602"/>
        <item m="1" x="15"/>
        <item m="1" x="233"/>
        <item m="1" x="678"/>
        <item m="1" x="566"/>
        <item m="1" x="542"/>
        <item m="1" x="250"/>
        <item m="1" x="295"/>
        <item m="1" x="301"/>
        <item m="1" x="126"/>
        <item m="1" x="291"/>
        <item m="1" x="569"/>
        <item m="1" x="358"/>
        <item m="1" x="378"/>
        <item m="1" x="351"/>
        <item m="1" x="622"/>
        <item m="1" x="92"/>
        <item m="1" x="581"/>
        <item m="1" x="572"/>
        <item m="1" x="658"/>
        <item m="1" x="53"/>
        <item m="1" x="540"/>
        <item m="1" x="77"/>
        <item m="1" x="176"/>
        <item m="1" x="671"/>
        <item m="1" x="11"/>
        <item m="1" x="90"/>
        <item m="1" x="168"/>
        <item m="1" x="532"/>
        <item m="1" x="34"/>
        <item m="1" x="548"/>
        <item m="1" x="452"/>
        <item m="1" x="715"/>
        <item m="1" x="544"/>
        <item m="1" x="128"/>
        <item m="1" x="178"/>
        <item m="1" x="308"/>
        <item m="1" x="680"/>
        <item m="1" x="630"/>
        <item m="1" x="609"/>
        <item m="1" x="146"/>
        <item m="1" x="588"/>
        <item m="1" x="144"/>
        <item m="1" x="275"/>
        <item m="1" x="315"/>
        <item m="1" x="397"/>
        <item m="1" x="670"/>
        <item m="1" x="697"/>
        <item m="1" x="191"/>
        <item m="1" x="292"/>
        <item m="1" x="626"/>
        <item m="1" x="661"/>
        <item m="1" x="297"/>
        <item m="1" x="234"/>
        <item m="1" x="17"/>
        <item m="1" x="10"/>
        <item m="1" x="85"/>
        <item m="1" x="246"/>
        <item m="1" x="305"/>
        <item m="1" x="306"/>
        <item m="1" x="120"/>
        <item m="1" x="442"/>
        <item m="1" x="327"/>
        <item m="1" x="640"/>
        <item m="1" x="488"/>
        <item m="1" x="159"/>
        <item m="1" x="241"/>
        <item m="1" x="284"/>
        <item m="1" x="335"/>
        <item m="1" x="87"/>
        <item m="1" x="188"/>
        <item m="1" x="686"/>
        <item m="1" x="656"/>
        <item m="1" x="148"/>
        <item m="1" x="538"/>
        <item m="1" x="476"/>
        <item m="1" x="268"/>
        <item m="1" x="589"/>
        <item m="1" x="560"/>
        <item m="1" x="67"/>
        <item m="1" x="193"/>
        <item m="1" x="229"/>
        <item m="1" x="6"/>
        <item m="1" x="714"/>
        <item m="1" x="682"/>
        <item m="1" x="254"/>
        <item m="1" x="701"/>
        <item m="1" x="114"/>
        <item m="1" x="266"/>
        <item m="1" x="443"/>
        <item m="1" x="287"/>
        <item m="1" x="472"/>
        <item m="1" x="278"/>
        <item m="1" x="94"/>
        <item m="1" x="434"/>
        <item m="1" x="39"/>
        <item m="1" x="139"/>
        <item m="1" x="422"/>
        <item m="1" x="36"/>
        <item m="1" x="75"/>
        <item m="1" x="220"/>
        <item m="1" x="619"/>
        <item m="1" x="427"/>
        <item m="1" x="611"/>
        <item m="1" x="112"/>
        <item m="1" x="362"/>
        <item m="1" x="142"/>
        <item m="1" x="170"/>
        <item m="1" x="535"/>
        <item m="1" x="468"/>
        <item m="1" x="490"/>
        <item m="1" x="57"/>
        <item m="1" x="98"/>
        <item m="1" x="256"/>
        <item m="1" x="710"/>
        <item m="1" x="432"/>
        <item m="1" x="575"/>
        <item m="1" x="93"/>
        <item m="1" x="450"/>
        <item m="1" x="633"/>
        <item m="1" x="406"/>
        <item m="1" x="613"/>
        <item m="1" x="20"/>
        <item m="1" x="665"/>
        <item m="1" x="653"/>
        <item m="1" x="523"/>
        <item m="1" x="649"/>
        <item m="1" x="621"/>
        <item m="1" x="115"/>
        <item m="1" x="601"/>
        <item m="1" x="651"/>
        <item m="1" x="475"/>
        <item m="1" x="118"/>
        <item m="1" x="660"/>
        <item m="1" x="587"/>
        <item m="1" x="679"/>
        <item m="1" x="324"/>
        <item m="1" x="316"/>
        <item m="1" x="274"/>
        <item m="1" x="136"/>
        <item m="1" x="9"/>
        <item m="1" x="722"/>
        <item m="1" x="545"/>
        <item m="1" x="436"/>
        <item m="1" x="350"/>
        <item m="1" x="469"/>
        <item m="1" x="363"/>
        <item m="1" x="331"/>
        <item m="1" x="154"/>
        <item m="1" x="47"/>
        <item m="1" x="96"/>
        <item m="1" x="719"/>
        <item m="1" x="455"/>
        <item m="1" x="258"/>
        <item m="1" x="13"/>
        <item m="1" x="213"/>
        <item m="1" x="97"/>
        <item m="1" x="180"/>
        <item m="1" x="495"/>
        <item m="1" x="300"/>
        <item m="1" x="225"/>
        <item m="1" x="164"/>
        <item m="1" x="448"/>
        <item m="1" x="404"/>
        <item m="1" x="564"/>
        <item m="1" x="223"/>
        <item m="1" x="312"/>
        <item m="1" x="44"/>
        <item m="1" x="113"/>
        <item m="1" x="673"/>
        <item m="1" x="386"/>
        <item m="1" x="401"/>
        <item m="1" x="175"/>
        <item m="1" x="121"/>
        <item m="1" x="195"/>
        <item m="1" x="604"/>
        <item m="1" x="598"/>
        <item m="1" x="498"/>
        <item m="1" x="650"/>
        <item m="1" x="207"/>
        <item m="1" x="304"/>
        <item m="1" x="379"/>
        <item m="1" x="637"/>
        <item m="1" x="334"/>
        <item m="1" x="402"/>
        <item m="1" x="391"/>
        <item m="1" x="567"/>
        <item m="1" x="24"/>
        <item m="1" x="672"/>
        <item m="1" x="568"/>
        <item m="1" x="281"/>
        <item m="1" x="329"/>
        <item m="1" x="347"/>
        <item m="1" x="344"/>
        <item m="1" x="375"/>
        <item m="1" x="218"/>
        <item m="1" x="643"/>
        <item m="1" x="520"/>
        <item m="1" x="321"/>
        <item m="1" x="253"/>
        <item m="1" x="603"/>
        <item m="1" x="311"/>
        <item m="1" x="153"/>
        <item m="1" x="646"/>
        <item m="1" x="166"/>
        <item m="1" x="179"/>
        <item m="1" x="42"/>
        <item m="1" x="454"/>
        <item m="1" x="410"/>
        <item m="1" x="345"/>
        <item m="1" x="596"/>
        <item m="1" x="518"/>
        <item m="1" x="333"/>
        <item m="1" x="607"/>
        <item m="1" x="314"/>
        <item m="1" x="342"/>
        <item m="1" x="647"/>
        <item m="1" x="320"/>
        <item m="1" x="707"/>
        <item m="1" x="510"/>
        <item m="1" x="388"/>
        <item m="1" x="481"/>
        <item m="1" x="513"/>
        <item m="1" x="31"/>
        <item m="1" x="519"/>
        <item m="1" x="614"/>
        <item m="1" x="124"/>
        <item m="1" x="493"/>
        <item m="1" x="261"/>
        <item m="1" x="328"/>
        <item m="1" x="509"/>
        <item m="1" x="264"/>
        <item m="1" x="556"/>
        <item m="1" x="492"/>
        <item m="1" x="645"/>
        <item m="1" x="383"/>
        <item m="1" x="5"/>
        <item m="1" x="396"/>
        <item m="1" x="612"/>
        <item m="1" x="541"/>
        <item m="1" x="577"/>
        <item m="1" x="242"/>
        <item m="1" x="37"/>
        <item m="1" x="717"/>
        <item m="1" x="716"/>
        <item m="1" x="463"/>
        <item m="1" x="38"/>
        <item m="1" x="54"/>
        <item m="1" x="597"/>
        <item m="1" x="652"/>
        <item m="1" x="412"/>
        <item m="1" x="688"/>
        <item m="1" x="32"/>
        <item m="1" x="18"/>
        <item m="1" x="584"/>
        <item m="1" x="332"/>
        <item m="1" x="122"/>
        <item m="1" x="91"/>
        <item m="1" x="273"/>
        <item m="1" x="526"/>
        <item m="1" x="632"/>
        <item m="1" x="86"/>
        <item m="1" x="353"/>
        <item m="1" x="135"/>
        <item m="1" x="286"/>
        <item m="1" x="296"/>
        <item m="1" x="162"/>
        <item m="1" x="496"/>
        <item m="1" x="41"/>
        <item m="1" x="62"/>
        <item m="1" x="642"/>
        <item m="1" x="267"/>
        <item m="1" x="478"/>
        <item m="1" x="655"/>
        <item m="1" x="210"/>
        <item m="1" x="215"/>
        <item m="1" x="167"/>
        <item m="1" x="723"/>
        <item m="1" x="33"/>
        <item m="1" x="43"/>
        <item m="1" x="137"/>
        <item m="1" x="557"/>
        <item m="1" x="255"/>
        <item m="1" x="276"/>
        <item m="1" x="68"/>
        <item m="1" x="473"/>
        <item m="1" x="61"/>
        <item m="1" x="668"/>
        <item m="1" x="103"/>
        <item m="1" x="265"/>
        <item m="1" x="497"/>
        <item m="1" x="356"/>
        <item m="1" x="59"/>
        <item m="1" x="381"/>
        <item m="1" x="82"/>
        <item m="1" x="563"/>
        <item m="1" x="683"/>
        <item m="1" x="491"/>
        <item m="1" x="56"/>
        <item m="1" x="272"/>
        <item m="1" x="546"/>
        <item m="1" x="417"/>
        <item m="1" x="186"/>
        <item m="1" x="695"/>
        <item m="1" x="623"/>
        <item m="1" x="338"/>
        <item m="1" x="444"/>
        <item m="1" x="279"/>
        <item m="1" x="131"/>
        <item m="1" x="132"/>
        <item m="1" x="150"/>
        <item m="1" x="595"/>
        <item m="1" x="318"/>
        <item m="1" x="48"/>
        <item m="1" x="341"/>
        <item m="1" x="677"/>
        <item m="1" x="424"/>
        <item m="1" x="667"/>
        <item m="1" x="365"/>
        <item m="1" x="104"/>
        <item m="1" x="504"/>
        <item m="1" x="674"/>
        <item m="1" x="230"/>
        <item m="1" x="446"/>
        <item m="1" x="599"/>
        <item m="1" x="505"/>
        <item m="1" x="119"/>
        <item m="1" x="654"/>
        <item m="1" x="339"/>
        <item m="1" x="464"/>
        <item m="1" x="494"/>
        <item m="1" x="152"/>
        <item m="1" x="303"/>
        <item m="1" x="423"/>
        <item m="1" x="282"/>
        <item m="1" x="485"/>
        <item m="1" x="45"/>
        <item m="1" x="562"/>
        <item m="1" x="249"/>
        <item m="1" x="418"/>
        <item m="1" x="511"/>
        <item m="1" x="433"/>
        <item m="1" x="177"/>
        <item m="1" x="302"/>
        <item m="1" x="187"/>
        <item m="1" x="190"/>
        <item m="1" x="549"/>
        <item m="1" x="466"/>
        <item m="1" x="257"/>
        <item m="1" x="565"/>
        <item m="1" x="533"/>
        <item m="1" x="570"/>
        <item m="1" x="675"/>
        <item m="1" x="247"/>
        <item m="1" x="355"/>
        <item m="1" x="635"/>
        <item x="3"/>
        <item m="1" x="387"/>
        <item m="1" x="487"/>
        <item m="1" x="217"/>
        <item m="1" x="28"/>
        <item m="1" x="260"/>
        <item m="1" x="465"/>
        <item m="1" x="172"/>
        <item m="1" x="202"/>
        <item m="1" x="288"/>
        <item m="1" x="489"/>
        <item m="1" x="445"/>
        <item m="1" x="453"/>
        <item m="1" x="79"/>
        <item m="1" x="431"/>
        <item m="1" x="259"/>
        <item m="1" x="543"/>
        <item m="1" x="201"/>
        <item m="1" x="403"/>
        <item m="1" x="239"/>
        <item m="1" x="392"/>
        <item m="1" x="127"/>
        <item m="1" x="471"/>
        <item m="1" x="631"/>
        <item m="1" x="211"/>
        <item m="1" x="374"/>
        <item m="1" x="373"/>
        <item x="2"/>
        <item m="1" x="512"/>
        <item m="1" x="51"/>
        <item m="1" x="441"/>
        <item m="1" x="221"/>
        <item m="1" x="407"/>
        <item m="1" x="558"/>
        <item m="1" x="163"/>
        <item m="1" x="157"/>
        <item x="1"/>
        <item m="1" x="480"/>
        <item m="1" x="605"/>
        <item m="1" x="161"/>
        <item m="1" x="73"/>
        <item m="1" x="470"/>
        <item m="1" x="704"/>
        <item m="1" x="25"/>
        <item m="1" x="293"/>
        <item m="1" x="709"/>
        <item m="1" x="573"/>
        <item m="1" x="627"/>
        <item m="1" x="384"/>
        <item m="1" x="199"/>
        <item m="1" x="641"/>
        <item m="1" x="425"/>
        <item m="1" x="66"/>
        <item m="1" x="185"/>
        <item m="1" x="88"/>
        <item m="1" x="183"/>
        <item m="1" x="537"/>
        <item m="1" x="69"/>
        <item m="1" x="80"/>
        <item m="1" x="81"/>
        <item m="1" x="664"/>
        <item m="1" x="685"/>
        <item m="1" x="194"/>
        <item m="1" x="27"/>
        <item m="1" x="367"/>
        <item m="1" x="151"/>
        <item m="1" x="71"/>
        <item m="1" x="477"/>
        <item m="1" x="83"/>
        <item m="1" x="231"/>
        <item m="1" x="428"/>
        <item m="1" x="299"/>
        <item m="1" x="429"/>
        <item m="1" x="479"/>
        <item m="1" x="108"/>
        <item m="1" x="547"/>
        <item m="1" x="669"/>
        <item m="1" x="514"/>
        <item m="1" x="99"/>
        <item m="1" x="610"/>
        <item m="1" x="657"/>
        <item m="1" x="134"/>
        <item m="1" x="370"/>
        <item m="1" x="19"/>
        <item m="1" x="352"/>
        <item m="1" x="203"/>
        <item m="1" x="456"/>
        <item m="1" x="125"/>
        <item m="1" x="209"/>
        <item m="1" x="252"/>
        <item m="1" x="713"/>
        <item m="1" x="205"/>
        <item m="1" x="182"/>
        <item m="1" x="585"/>
        <item m="1" x="106"/>
        <item m="1" x="405"/>
        <item m="1" x="440"/>
        <item m="1" x="624"/>
        <item m="1" x="307"/>
        <item m="1" x="110"/>
        <item m="1" x="46"/>
        <item m="1" x="58"/>
        <item m="1" x="101"/>
        <item m="1" x="705"/>
        <item m="1" x="109"/>
        <item m="1" x="590"/>
        <item m="1" x="451"/>
        <item m="1" x="539"/>
        <item m="1" x="224"/>
        <item m="1" x="189"/>
        <item m="1" x="174"/>
        <item m="1" x="648"/>
        <item m="1" x="617"/>
        <item m="1" x="29"/>
        <item m="1" x="371"/>
        <item m="1" x="385"/>
        <item m="1" x="419"/>
        <item m="1" x="35"/>
        <item m="1" x="618"/>
        <item m="1" x="684"/>
        <item m="1" x="706"/>
        <item m="1" x="84"/>
        <item m="1" x="271"/>
        <item m="1" x="236"/>
        <item m="1" x="690"/>
        <item m="1" x="173"/>
        <item m="1" x="552"/>
        <item m="1" x="105"/>
        <item m="1" x="74"/>
        <item m="1" x="525"/>
        <item m="1" x="574"/>
        <item m="1" x="368"/>
        <item m="1" x="222"/>
        <item m="1" x="52"/>
        <item m="1" x="691"/>
        <item m="1" x="76"/>
        <item m="1" x="30"/>
        <item m="1" x="364"/>
        <item m="1" x="72"/>
        <item m="1" x="50"/>
        <item m="1" x="145"/>
        <item m="1" x="196"/>
        <item m="1" x="216"/>
        <item m="1" x="197"/>
        <item m="1" x="502"/>
        <item m="1" x="411"/>
        <item m="1" x="123"/>
        <item m="1" x="435"/>
        <item m="1" x="696"/>
        <item m="1" x="550"/>
        <item m="1" x="294"/>
        <item m="1" x="615"/>
        <item m="1" x="319"/>
        <item m="1" x="415"/>
        <item m="1" x="634"/>
        <item m="1" x="141"/>
        <item m="1" x="117"/>
        <item m="1" x="699"/>
        <item m="1" x="89"/>
        <item m="1" x="204"/>
        <item m="1" x="310"/>
        <item m="1" x="245"/>
        <item m="1" x="149"/>
        <item m="1" x="449"/>
        <item m="1" x="228"/>
        <item m="1" x="198"/>
        <item m="1" x="200"/>
        <item m="1" x="243"/>
        <item m="1" x="592"/>
        <item m="1" x="521"/>
        <item m="1" x="8"/>
        <item m="1" x="591"/>
        <item m="1" x="107"/>
        <item m="1" x="55"/>
        <item m="1" x="360"/>
        <item m="1" x="251"/>
        <item m="1" x="482"/>
        <item m="1" x="357"/>
        <item m="1" x="395"/>
        <item m="1" x="486"/>
        <item m="1" x="460"/>
        <item m="1" x="380"/>
        <item m="1" x="130"/>
        <item m="1" x="337"/>
        <item m="1" x="369"/>
        <item m="1" x="720"/>
        <item m="1" x="70"/>
        <item m="1" x="138"/>
        <item m="1" x="147"/>
        <item m="1" x="169"/>
        <item m="1" x="459"/>
        <item m="1" x="26"/>
        <item m="1" x="361"/>
        <item m="1" x="531"/>
        <item m="1" x="7"/>
        <item m="1" x="694"/>
        <item m="1" x="408"/>
        <item m="1" x="458"/>
        <item m="1" x="698"/>
        <item m="1" x="346"/>
        <item m="1" x="280"/>
        <item m="1" x="235"/>
        <item m="1" x="227"/>
        <item m="1" x="636"/>
        <item m="1" x="426"/>
        <item m="1" x="708"/>
        <item m="1" x="693"/>
        <item m="1" x="421"/>
        <item m="1" x="692"/>
        <item m="1" x="111"/>
        <item m="1" x="277"/>
        <item m="1" x="676"/>
        <item m="1" x="160"/>
        <item m="1" x="156"/>
        <item m="1" x="263"/>
        <item m="1" x="528"/>
        <item m="1" x="586"/>
        <item m="1" x="501"/>
        <item m="1" x="102"/>
        <item m="1" x="22"/>
        <item m="1" x="438"/>
        <item m="1" x="14"/>
        <item m="1" x="413"/>
        <item m="1" x="662"/>
        <item m="1" x="65"/>
        <item m="1" x="703"/>
        <item m="1" x="400"/>
        <item m="1" x="399"/>
        <item m="1" x="63"/>
        <item m="1" x="232"/>
        <item m="1" x="606"/>
        <item m="1" x="663"/>
        <item m="1" x="181"/>
        <item m="1" x="530"/>
        <item m="1" x="317"/>
        <item m="1" x="330"/>
        <item m="1" x="398"/>
        <item m="1" x="326"/>
        <item m="1" x="583"/>
        <item m="1" x="60"/>
        <item m="1" x="390"/>
        <item m="1" x="508"/>
        <item m="1" x="594"/>
        <item m="1" x="517"/>
        <item m="1" x="377"/>
        <item m="1" x="461"/>
        <item m="1" x="554"/>
        <item m="1" x="700"/>
        <item m="1" x="638"/>
        <item m="1" x="171"/>
        <item m="1" x="712"/>
        <item m="1" x="226"/>
        <item m="1" x="580"/>
        <item m="1" x="430"/>
        <item m="1" x="718"/>
        <item m="1" x="372"/>
        <item m="1" x="628"/>
        <item m="1" x="553"/>
        <item m="1" x="593"/>
        <item m="1" x="555"/>
        <item m="1" x="484"/>
        <item m="1" x="133"/>
      </items>
    </pivotField>
    <pivotField axis="axisRow" compact="0" outline="0" showAll="0" sortType="ascending" defaultSubtotal="0">
      <items count="642">
        <item x="0"/>
        <item m="1" x="622"/>
        <item m="1" x="576"/>
        <item m="1" x="535"/>
        <item m="1" x="514"/>
        <item m="1" x="495"/>
        <item m="1" x="475"/>
        <item m="1" x="455"/>
        <item m="1" x="443"/>
        <item m="1" x="430"/>
        <item m="1" x="418"/>
        <item m="1" x="407"/>
        <item m="1" x="396"/>
        <item m="1" x="384"/>
        <item m="1" x="373"/>
        <item m="1" x="362"/>
        <item m="1" x="50"/>
        <item m="1" x="351"/>
        <item m="1" x="38"/>
        <item m="1" x="340"/>
        <item m="1" x="28"/>
        <item m="1" x="330"/>
        <item m="1" x="18"/>
        <item x="2"/>
        <item m="1" x="8"/>
        <item m="1" x="310"/>
        <item m="1" x="635"/>
        <item m="1" x="299"/>
        <item m="1" x="624"/>
        <item m="1" x="289"/>
        <item m="1" x="612"/>
        <item m="1" x="278"/>
        <item m="1" x="444"/>
        <item m="1" x="600"/>
        <item m="1" x="125"/>
        <item m="1" x="266"/>
        <item m="1" x="431"/>
        <item m="1" x="588"/>
        <item m="1" x="114"/>
        <item m="1" x="255"/>
        <item m="1" x="419"/>
        <item m="1" x="577"/>
        <item m="1" x="104"/>
        <item m="1" x="246"/>
        <item m="1" x="408"/>
        <item m="1" x="567"/>
        <item m="1" x="95"/>
        <item m="1" x="237"/>
        <item m="1" x="397"/>
        <item m="1" x="557"/>
        <item m="1" x="84"/>
        <item m="1" x="226"/>
        <item m="1" x="385"/>
        <item m="1" x="546"/>
        <item m="1" x="73"/>
        <item m="1" x="216"/>
        <item m="1" x="374"/>
        <item m="1" x="536"/>
        <item m="1" x="62"/>
        <item m="1" x="206"/>
        <item m="1" x="363"/>
        <item m="1" x="525"/>
        <item m="1" x="51"/>
        <item m="1" x="198"/>
        <item m="1" x="273"/>
        <item m="1" x="352"/>
        <item m="1" x="438"/>
        <item m="1" x="515"/>
        <item m="1" x="595"/>
        <item m="1" x="39"/>
        <item m="1" x="121"/>
        <item m="1" x="190"/>
        <item m="1" x="262"/>
        <item m="1" x="341"/>
        <item m="1" x="426"/>
        <item m="1" x="505"/>
        <item m="1" x="584"/>
        <item m="1" x="29"/>
        <item m="1" x="111"/>
        <item m="1" x="182"/>
        <item m="1" x="253"/>
        <item m="1" x="331"/>
        <item m="1" x="415"/>
        <item m="1" x="496"/>
        <item m="1" x="574"/>
        <item m="1" x="19"/>
        <item m="1" x="101"/>
        <item m="1" x="173"/>
        <item m="1" x="243"/>
        <item m="1" x="320"/>
        <item m="1" x="403"/>
        <item m="1" x="485"/>
        <item m="1" x="563"/>
        <item m="1" x="9"/>
        <item m="1" x="91"/>
        <item m="1" x="164"/>
        <item m="1" x="233"/>
        <item m="1" x="311"/>
        <item m="1" x="392"/>
        <item m="1" x="476"/>
        <item m="1" x="553"/>
        <item m="1" x="636"/>
        <item m="1" x="80"/>
        <item m="1" x="155"/>
        <item m="1" x="222"/>
        <item m="1" x="300"/>
        <item m="1" x="380"/>
        <item m="1" x="465"/>
        <item m="1" x="542"/>
        <item m="1" x="625"/>
        <item m="1" x="69"/>
        <item m="1" x="146"/>
        <item m="1" x="212"/>
        <item m="1" x="290"/>
        <item m="1" x="369"/>
        <item m="1" x="456"/>
        <item m="1" x="531"/>
        <item m="1" x="613"/>
        <item m="1" x="57"/>
        <item m="1" x="136"/>
        <item x="3"/>
        <item m="1" x="279"/>
        <item m="1" x="357"/>
        <item m="1" x="445"/>
        <item m="1" x="520"/>
        <item m="1" x="602"/>
        <item m="1" x="45"/>
        <item m="1" x="127"/>
        <item m="1" x="161"/>
        <item m="1" x="195"/>
        <item m="1" x="230"/>
        <item m="1" x="268"/>
        <item m="1" x="307"/>
        <item m="1" x="346"/>
        <item m="1" x="389"/>
        <item m="1" x="433"/>
        <item m="1" x="472"/>
        <item m="1" x="510"/>
        <item m="1" x="550"/>
        <item m="1" x="590"/>
        <item m="1" x="632"/>
        <item m="1" x="34"/>
        <item m="1" x="77"/>
        <item m="1" x="116"/>
        <item m="1" x="152"/>
        <item m="1" x="185"/>
        <item m="1" x="219"/>
        <item m="1" x="257"/>
        <item m="1" x="296"/>
        <item m="1" x="335"/>
        <item m="1" x="377"/>
        <item m="1" x="421"/>
        <item m="1" x="462"/>
        <item m="1" x="500"/>
        <item m="1" x="539"/>
        <item m="1" x="579"/>
        <item m="1" x="619"/>
        <item m="1" x="23"/>
        <item m="1" x="65"/>
        <item m="1" x="105"/>
        <item m="1" x="142"/>
        <item m="1" x="176"/>
        <item m="1" x="208"/>
        <item m="1" x="247"/>
        <item m="1" x="285"/>
        <item m="1" x="324"/>
        <item m="1" x="365"/>
        <item m="1" x="409"/>
        <item m="1" x="451"/>
        <item m="1" x="489"/>
        <item m="1" x="527"/>
        <item m="1" x="568"/>
        <item m="1" x="608"/>
        <item m="1" x="13"/>
        <item m="1" x="53"/>
        <item m="1" x="96"/>
        <item m="1" x="133"/>
        <item m="1" x="168"/>
        <item m="1" x="200"/>
        <item m="1" x="238"/>
        <item m="1" x="275"/>
        <item m="1" x="315"/>
        <item m="1" x="354"/>
        <item m="1" x="398"/>
        <item m="1" x="440"/>
        <item m="1" x="480"/>
        <item m="1" x="517"/>
        <item m="1" x="558"/>
        <item m="1" x="597"/>
        <item m="1" x="640"/>
        <item m="1" x="41"/>
        <item m="1" x="85"/>
        <item m="1" x="123"/>
        <item m="1" x="158"/>
        <item m="1" x="192"/>
        <item m="1" x="227"/>
        <item m="1" x="264"/>
        <item m="1" x="304"/>
        <item m="1" x="343"/>
        <item m="1" x="386"/>
        <item m="1" x="428"/>
        <item m="1" x="469"/>
        <item m="1" x="507"/>
        <item m="1" x="547"/>
        <item m="1" x="586"/>
        <item m="1" x="629"/>
        <item m="1" x="31"/>
        <item m="1" x="74"/>
        <item m="1" x="113"/>
        <item m="1" x="150"/>
        <item m="1" x="183"/>
        <item m="1" x="217"/>
        <item m="1" x="294"/>
        <item m="1" x="333"/>
        <item m="1" x="375"/>
        <item m="1" x="417"/>
        <item m="1" x="460"/>
        <item m="1" x="498"/>
        <item m="1" x="537"/>
        <item m="1" x="575"/>
        <item m="1" x="617"/>
        <item m="1" x="21"/>
        <item m="1" x="63"/>
        <item m="1" x="103"/>
        <item m="1" x="141"/>
        <item m="1" x="175"/>
        <item m="1" x="207"/>
        <item m="1" x="284"/>
        <item m="1" x="323"/>
        <item m="1" x="364"/>
        <item m="1" x="406"/>
        <item m="1" x="450"/>
        <item m="1" x="488"/>
        <item m="1" x="526"/>
        <item m="1" x="566"/>
        <item m="1" x="607"/>
        <item m="1" x="12"/>
        <item m="1" x="52"/>
        <item m="1" x="94"/>
        <item m="1" x="132"/>
        <item m="1" x="167"/>
        <item m="1" x="199"/>
        <item m="1" x="236"/>
        <item m="1" x="274"/>
        <item m="1" x="314"/>
        <item m="1" x="353"/>
        <item m="1" x="395"/>
        <item m="1" x="439"/>
        <item m="1" x="479"/>
        <item m="1" x="516"/>
        <item m="1" x="556"/>
        <item m="1" x="596"/>
        <item m="1" x="639"/>
        <item m="1" x="40"/>
        <item m="1" x="61"/>
        <item m="1" x="83"/>
        <item m="1" x="102"/>
        <item m="1" x="122"/>
        <item m="1" x="140"/>
        <item m="1" x="157"/>
        <item m="1" x="174"/>
        <item m="1" x="191"/>
        <item m="1" x="205"/>
        <item m="1" x="225"/>
        <item m="1" x="245"/>
        <item m="1" x="263"/>
        <item m="1" x="283"/>
        <item m="1" x="303"/>
        <item m="1" x="322"/>
        <item m="1" x="342"/>
        <item m="1" x="361"/>
        <item m="1" x="383"/>
        <item m="1" x="405"/>
        <item m="1" x="427"/>
        <item m="1" x="449"/>
        <item m="1" x="468"/>
        <item m="1" x="487"/>
        <item m="1" x="506"/>
        <item m="1" x="524"/>
        <item m="1" x="545"/>
        <item m="1" x="565"/>
        <item m="1" x="585"/>
        <item m="1" x="606"/>
        <item m="1" x="628"/>
        <item m="1" x="11"/>
        <item m="1" x="30"/>
        <item m="1" x="49"/>
        <item m="1" x="72"/>
        <item m="1" x="93"/>
        <item m="1" x="112"/>
        <item m="1" x="131"/>
        <item m="1" x="149"/>
        <item m="1" x="166"/>
        <item m="1" x="197"/>
        <item m="1" x="215"/>
        <item m="1" x="235"/>
        <item m="1" x="254"/>
        <item m="1" x="272"/>
        <item m="1" x="293"/>
        <item m="1" x="313"/>
        <item m="1" x="332"/>
        <item m="1" x="350"/>
        <item m="1" x="372"/>
        <item m="1" x="394"/>
        <item m="1" x="416"/>
        <item m="1" x="437"/>
        <item m="1" x="459"/>
        <item m="1" x="478"/>
        <item m="1" x="497"/>
        <item m="1" x="513"/>
        <item m="1" x="534"/>
        <item m="1" x="555"/>
        <item m="1" x="594"/>
        <item m="1" x="616"/>
        <item m="1" x="638"/>
        <item m="1" x="20"/>
        <item m="1" x="60"/>
        <item m="1" x="82"/>
        <item m="1" x="120"/>
        <item m="1" x="139"/>
        <item m="1" x="189"/>
        <item m="1" x="224"/>
        <item m="1" x="244"/>
        <item m="1" x="261"/>
        <item m="1" x="282"/>
        <item m="1" x="302"/>
        <item m="1" x="321"/>
        <item m="1" x="339"/>
        <item m="1" x="360"/>
        <item m="1" x="382"/>
        <item m="1" x="404"/>
        <item m="1" x="425"/>
        <item m="1" x="448"/>
        <item m="1" x="467"/>
        <item m="1" x="486"/>
        <item m="1" x="504"/>
        <item m="1" x="523"/>
        <item m="1" x="544"/>
        <item m="1" x="564"/>
        <item m="1" x="583"/>
        <item m="1" x="605"/>
        <item m="1" x="627"/>
        <item m="1" x="10"/>
        <item m="1" x="48"/>
        <item m="1" x="71"/>
        <item m="1" x="92"/>
        <item m="1" x="110"/>
        <item m="1" x="130"/>
        <item m="1" x="148"/>
        <item m="1" x="165"/>
        <item m="1" x="181"/>
        <item m="1" x="196"/>
        <item m="1" x="214"/>
        <item m="1" x="234"/>
        <item m="1" x="252"/>
        <item m="1" x="271"/>
        <item m="1" x="292"/>
        <item m="1" x="312"/>
        <item m="1" x="329"/>
        <item m="1" x="349"/>
        <item m="1" x="371"/>
        <item m="1" x="393"/>
        <item m="1" x="414"/>
        <item m="1" x="436"/>
        <item m="1" x="458"/>
        <item m="1" x="477"/>
        <item m="1" x="494"/>
        <item m="1" x="512"/>
        <item m="1" x="533"/>
        <item m="1" x="554"/>
        <item m="1" x="573"/>
        <item m="1" x="593"/>
        <item m="1" x="615"/>
        <item m="1" x="637"/>
        <item m="1" x="17"/>
        <item m="1" x="37"/>
        <item m="1" x="59"/>
        <item m="1" x="81"/>
        <item m="1" x="100"/>
        <item m="1" x="119"/>
        <item m="1" x="138"/>
        <item m="1" x="156"/>
        <item m="1" x="172"/>
        <item m="1" x="188"/>
        <item m="1" x="204"/>
        <item m="1" x="223"/>
        <item m="1" x="242"/>
        <item m="1" x="260"/>
        <item m="1" x="281"/>
        <item m="1" x="301"/>
        <item m="1" x="319"/>
        <item m="1" x="338"/>
        <item m="1" x="359"/>
        <item m="1" x="381"/>
        <item m="1" x="402"/>
        <item m="1" x="424"/>
        <item m="1" x="447"/>
        <item m="1" x="466"/>
        <item m="1" x="484"/>
        <item m="1" x="503"/>
        <item m="1" x="522"/>
        <item m="1" x="543"/>
        <item m="1" x="562"/>
        <item m="1" x="582"/>
        <item m="1" x="604"/>
        <item m="1" x="626"/>
        <item m="1" x="7"/>
        <item m="1" x="27"/>
        <item m="1" x="47"/>
        <item m="1" x="70"/>
        <item m="1" x="90"/>
        <item m="1" x="109"/>
        <item m="1" x="129"/>
        <item m="1" x="147"/>
        <item m="1" x="163"/>
        <item m="1" x="180"/>
        <item m="1" x="213"/>
        <item m="1" x="232"/>
        <item m="1" x="251"/>
        <item m="1" x="270"/>
        <item m="1" x="291"/>
        <item m="1" x="309"/>
        <item m="1" x="328"/>
        <item m="1" x="348"/>
        <item m="1" x="370"/>
        <item m="1" x="391"/>
        <item m="1" x="413"/>
        <item m="1" x="435"/>
        <item m="1" x="457"/>
        <item m="1" x="474"/>
        <item m="1" x="493"/>
        <item m="1" x="532"/>
        <item m="1" x="552"/>
        <item m="1" x="572"/>
        <item m="1" x="592"/>
        <item m="1" x="614"/>
        <item m="1" x="634"/>
        <item m="1" x="36"/>
        <item m="1" x="58"/>
        <item m="1" x="79"/>
        <item m="1" x="99"/>
        <item m="1" x="118"/>
        <item m="1" x="137"/>
        <item m="1" x="154"/>
        <item m="1" x="171"/>
        <item m="1" x="187"/>
        <item m="1" x="203"/>
        <item m="1" x="221"/>
        <item m="1" x="241"/>
        <item m="1" x="259"/>
        <item m="1" x="280"/>
        <item m="1" x="298"/>
        <item m="1" x="318"/>
        <item m="1" x="337"/>
        <item m="1" x="358"/>
        <item m="1" x="379"/>
        <item m="1" x="401"/>
        <item m="1" x="423"/>
        <item m="1" x="446"/>
        <item m="1" x="464"/>
        <item m="1" x="483"/>
        <item m="1" x="502"/>
        <item m="1" x="521"/>
        <item m="1" x="541"/>
        <item m="1" x="561"/>
        <item m="1" x="581"/>
        <item m="1" x="603"/>
        <item m="1" x="623"/>
        <item m="1" x="6"/>
        <item m="1" x="26"/>
        <item m="1" x="46"/>
        <item m="1" x="68"/>
        <item m="1" x="89"/>
        <item m="1" x="108"/>
        <item m="1" x="128"/>
        <item m="1" x="145"/>
        <item m="1" x="162"/>
        <item m="1" x="179"/>
        <item x="1"/>
        <item m="1" x="211"/>
        <item m="1" x="231"/>
        <item m="1" x="250"/>
        <item m="1" x="269"/>
        <item m="1" x="288"/>
        <item m="1" x="308"/>
        <item m="1" x="327"/>
        <item m="1" x="347"/>
        <item m="1" x="368"/>
        <item m="1" x="390"/>
        <item m="1" x="412"/>
        <item m="1" x="434"/>
        <item m="1" x="454"/>
        <item m="1" x="473"/>
        <item m="1" x="492"/>
        <item m="1" x="511"/>
        <item m="1" x="530"/>
        <item m="1" x="551"/>
        <item m="1" x="571"/>
        <item m="1" x="591"/>
        <item m="1" x="601"/>
        <item m="1" x="611"/>
        <item m="1" x="621"/>
        <item m="1" x="633"/>
        <item m="1" x="5"/>
        <item m="1" x="16"/>
        <item m="1" x="25"/>
        <item m="1" x="35"/>
        <item m="1" x="44"/>
        <item m="1" x="56"/>
        <item m="1" x="67"/>
        <item m="1" x="78"/>
        <item m="1" x="88"/>
        <item m="1" x="98"/>
        <item m="1" x="107"/>
        <item m="1" x="117"/>
        <item m="1" x="126"/>
        <item m="1" x="135"/>
        <item m="1" x="144"/>
        <item m="1" x="153"/>
        <item m="1" x="160"/>
        <item m="1" x="170"/>
        <item m="1" x="178"/>
        <item m="1" x="186"/>
        <item m="1" x="194"/>
        <item m="1" x="202"/>
        <item m="1" x="210"/>
        <item m="1" x="220"/>
        <item m="1" x="229"/>
        <item m="1" x="240"/>
        <item m="1" x="249"/>
        <item m="1" x="258"/>
        <item m="1" x="267"/>
        <item m="1" x="277"/>
        <item m="1" x="287"/>
        <item m="1" x="297"/>
        <item m="1" x="306"/>
        <item m="1" x="317"/>
        <item m="1" x="326"/>
        <item m="1" x="336"/>
        <item m="1" x="345"/>
        <item m="1" x="356"/>
        <item m="1" x="367"/>
        <item m="1" x="378"/>
        <item m="1" x="388"/>
        <item m="1" x="400"/>
        <item m="1" x="411"/>
        <item m="1" x="422"/>
        <item m="1" x="432"/>
        <item m="1" x="442"/>
        <item m="1" x="453"/>
        <item m="1" x="463"/>
        <item m="1" x="471"/>
        <item m="1" x="482"/>
        <item m="1" x="491"/>
        <item m="1" x="501"/>
        <item m="1" x="509"/>
        <item m="1" x="519"/>
        <item m="1" x="529"/>
        <item m="1" x="540"/>
        <item m="1" x="549"/>
        <item m="1" x="560"/>
        <item m="1" x="570"/>
        <item m="1" x="580"/>
        <item m="1" x="589"/>
        <item m="1" x="599"/>
        <item m="1" x="610"/>
        <item m="1" x="620"/>
        <item m="1" x="631"/>
        <item m="1" x="4"/>
        <item m="1" x="15"/>
        <item m="1" x="24"/>
        <item m="1" x="33"/>
        <item m="1" x="43"/>
        <item m="1" x="55"/>
        <item m="1" x="66"/>
        <item m="1" x="76"/>
        <item m="1" x="87"/>
        <item m="1" x="97"/>
        <item m="1" x="106"/>
        <item m="1" x="115"/>
        <item m="1" x="124"/>
        <item m="1" x="134"/>
        <item m="1" x="143"/>
        <item m="1" x="151"/>
        <item m="1" x="159"/>
        <item m="1" x="169"/>
        <item m="1" x="177"/>
        <item m="1" x="184"/>
        <item m="1" x="193"/>
        <item m="1" x="201"/>
        <item m="1" x="209"/>
        <item m="1" x="218"/>
        <item m="1" x="228"/>
        <item m="1" x="239"/>
        <item m="1" x="248"/>
        <item m="1" x="256"/>
        <item m="1" x="265"/>
        <item m="1" x="276"/>
        <item m="1" x="286"/>
        <item m="1" x="295"/>
        <item m="1" x="305"/>
        <item m="1" x="316"/>
        <item m="1" x="325"/>
        <item m="1" x="334"/>
        <item m="1" x="344"/>
        <item m="1" x="355"/>
        <item m="1" x="366"/>
        <item m="1" x="376"/>
        <item m="1" x="387"/>
        <item m="1" x="399"/>
        <item m="1" x="410"/>
        <item m="1" x="420"/>
        <item m="1" x="429"/>
        <item m="1" x="441"/>
        <item m="1" x="452"/>
        <item m="1" x="461"/>
        <item m="1" x="470"/>
        <item m="1" x="481"/>
        <item m="1" x="490"/>
        <item m="1" x="499"/>
        <item m="1" x="508"/>
        <item m="1" x="518"/>
        <item m="1" x="528"/>
        <item m="1" x="538"/>
        <item m="1" x="548"/>
        <item m="1" x="559"/>
        <item m="1" x="569"/>
        <item m="1" x="578"/>
        <item m="1" x="587"/>
        <item m="1" x="598"/>
        <item m="1" x="609"/>
        <item m="1" x="618"/>
        <item m="1" x="630"/>
        <item m="1" x="641"/>
        <item m="1" x="14"/>
        <item m="1" x="22"/>
        <item m="1" x="32"/>
        <item m="1" x="42"/>
        <item m="1" x="54"/>
        <item m="1" x="64"/>
        <item m="1" x="75"/>
        <item m="1" x="86"/>
      </items>
    </pivotField>
    <pivotField compact="0" outline="0" showAll="0" defaultSubtotal="0"/>
    <pivotField compact="0" numFmtId="22" outline="0" showAll="0" defaultSubtotal="0"/>
    <pivotField compact="0" outline="0" showAll="0" defaultSubtotal="0"/>
    <pivotField axis="axisRow" compact="0" outline="0" showAll="0" defaultSubtotal="0">
      <items count="256">
        <item m="1" x="98"/>
        <item m="1" x="6"/>
        <item m="1" x="180"/>
        <item x="0"/>
        <item m="1" x="134"/>
        <item m="1" x="190"/>
        <item m="1" x="198"/>
        <item m="1" x="201"/>
        <item m="1" x="58"/>
        <item m="1" x="13"/>
        <item m="1" x="166"/>
        <item m="1" x="200"/>
        <item m="1" x="34"/>
        <item m="1" x="227"/>
        <item m="1" x="111"/>
        <item m="1" x="222"/>
        <item m="1" x="40"/>
        <item m="1" x="61"/>
        <item m="1" x="72"/>
        <item m="1" x="214"/>
        <item m="1" x="52"/>
        <item m="1" x="152"/>
        <item m="1" x="73"/>
        <item m="1" x="218"/>
        <item m="1" x="77"/>
        <item m="1" x="160"/>
        <item m="1" x="129"/>
        <item m="1" x="228"/>
        <item m="1" x="36"/>
        <item m="1" x="122"/>
        <item m="1" x="187"/>
        <item m="1" x="45"/>
        <item m="1" x="47"/>
        <item m="1" x="246"/>
        <item m="1" x="124"/>
        <item m="1" x="251"/>
        <item m="1" x="155"/>
        <item m="1" x="105"/>
        <item m="1" x="81"/>
        <item m="1" x="35"/>
        <item m="1" x="53"/>
        <item m="1" x="250"/>
        <item m="1" x="126"/>
        <item m="1" x="113"/>
        <item m="1" x="96"/>
        <item m="1" x="119"/>
        <item m="1" x="130"/>
        <item m="1" x="65"/>
        <item m="1" x="56"/>
        <item m="1" x="93"/>
        <item m="1" x="44"/>
        <item m="1" x="186"/>
        <item m="1" x="139"/>
        <item m="1" x="51"/>
        <item m="1" x="114"/>
        <item m="1" x="151"/>
        <item m="1" x="202"/>
        <item m="1" x="196"/>
        <item m="1" x="234"/>
        <item m="1" x="5"/>
        <item m="1" x="159"/>
        <item m="1" x="21"/>
        <item m="1" x="78"/>
        <item m="1" x="117"/>
        <item m="1" x="245"/>
        <item m="1" x="231"/>
        <item x="3"/>
        <item m="1" x="76"/>
        <item m="1" x="192"/>
        <item m="1" x="135"/>
        <item m="1" x="215"/>
        <item m="1" x="183"/>
        <item m="1" x="57"/>
        <item m="1" x="149"/>
        <item m="1" x="165"/>
        <item m="1" x="235"/>
        <item m="1" x="18"/>
        <item m="1" x="63"/>
        <item m="1" x="8"/>
        <item m="1" x="145"/>
        <item m="1" x="70"/>
        <item m="1" x="7"/>
        <item m="1" x="185"/>
        <item m="1" x="219"/>
        <item m="1" x="253"/>
        <item m="1" x="123"/>
        <item m="1" x="121"/>
        <item m="1" x="14"/>
        <item m="1" x="29"/>
        <item m="1" x="204"/>
        <item m="1" x="249"/>
        <item m="1" x="237"/>
        <item m="1" x="179"/>
        <item m="1" x="189"/>
        <item m="1" x="156"/>
        <item m="1" x="242"/>
        <item m="1" x="127"/>
        <item m="1" x="118"/>
        <item m="1" x="153"/>
        <item m="1" x="146"/>
        <item m="1" x="74"/>
        <item m="1" x="107"/>
        <item m="1" x="164"/>
        <item m="1" x="181"/>
        <item m="1" x="244"/>
        <item m="1" x="216"/>
        <item m="1" x="30"/>
        <item m="1" x="141"/>
        <item m="1" x="199"/>
        <item m="1" x="25"/>
        <item x="1"/>
        <item m="1" x="15"/>
        <item m="1" x="255"/>
        <item m="1" x="33"/>
        <item m="1" x="168"/>
        <item m="1" x="175"/>
        <item m="1" x="223"/>
        <item m="1" x="28"/>
        <item m="1" x="116"/>
        <item m="1" x="41"/>
        <item m="1" x="240"/>
        <item m="1" x="108"/>
        <item m="1" x="203"/>
        <item m="1" x="120"/>
        <item m="1" x="144"/>
        <item m="1" x="197"/>
        <item m="1" x="99"/>
        <item m="1" x="143"/>
        <item m="1" x="39"/>
        <item m="1" x="82"/>
        <item m="1" x="206"/>
        <item m="1" x="229"/>
        <item m="1" x="84"/>
        <item m="1" x="104"/>
        <item m="1" x="125"/>
        <item m="1" x="64"/>
        <item m="1" x="173"/>
        <item m="1" x="102"/>
        <item m="1" x="37"/>
        <item m="1" x="43"/>
        <item m="1" x="212"/>
        <item m="1" x="97"/>
        <item m="1" x="38"/>
        <item m="1" x="191"/>
        <item m="1" x="132"/>
        <item m="1" x="230"/>
        <item m="1" x="17"/>
        <item m="1" x="26"/>
        <item m="1" x="140"/>
        <item m="1" x="209"/>
        <item m="1" x="182"/>
        <item m="1" x="170"/>
        <item m="1" x="128"/>
        <item m="1" x="213"/>
        <item m="1" x="87"/>
        <item m="1" x="207"/>
        <item m="1" x="89"/>
        <item m="1" x="142"/>
        <item m="1" x="22"/>
        <item x="2"/>
        <item m="1" x="106"/>
        <item m="1" x="60"/>
        <item m="1" x="174"/>
        <item m="1" x="133"/>
        <item m="1" x="55"/>
        <item m="1" x="217"/>
        <item m="1" x="32"/>
        <item m="1" x="208"/>
        <item m="1" x="254"/>
        <item m="1" x="169"/>
        <item m="1" x="59"/>
        <item m="1" x="90"/>
        <item m="1" x="9"/>
        <item m="1" x="19"/>
        <item m="1" x="112"/>
        <item m="1" x="49"/>
        <item m="1" x="91"/>
        <item m="1" x="10"/>
        <item m="1" x="131"/>
        <item m="1" x="95"/>
        <item m="1" x="224"/>
        <item m="1" x="176"/>
        <item m="1" x="193"/>
        <item m="1" x="42"/>
        <item m="1" x="110"/>
        <item m="1" x="92"/>
        <item m="1" x="62"/>
        <item m="1" x="48"/>
        <item m="1" x="252"/>
        <item m="1" x="103"/>
        <item m="1" x="241"/>
        <item m="1" x="54"/>
        <item m="1" x="23"/>
        <item m="1" x="27"/>
        <item m="1" x="238"/>
        <item m="1" x="46"/>
        <item m="1" x="66"/>
        <item m="1" x="16"/>
        <item m="1" x="12"/>
        <item m="1" x="80"/>
        <item m="1" x="205"/>
        <item m="1" x="86"/>
        <item m="1" x="68"/>
        <item m="1" x="247"/>
        <item m="1" x="100"/>
        <item m="1" x="136"/>
        <item m="1" x="194"/>
        <item m="1" x="243"/>
        <item m="1" x="150"/>
        <item m="1" x="195"/>
        <item m="1" x="233"/>
        <item m="1" x="85"/>
        <item m="1" x="24"/>
        <item m="1" x="239"/>
        <item m="1" x="167"/>
        <item m="1" x="210"/>
        <item m="1" x="71"/>
        <item m="1" x="79"/>
        <item m="1" x="178"/>
        <item m="1" x="4"/>
        <item m="1" x="148"/>
        <item m="1" x="177"/>
        <item m="1" x="138"/>
        <item m="1" x="69"/>
        <item m="1" x="83"/>
        <item m="1" x="220"/>
        <item m="1" x="236"/>
        <item m="1" x="101"/>
        <item m="1" x="172"/>
        <item m="1" x="226"/>
        <item m="1" x="221"/>
        <item m="1" x="88"/>
        <item m="1" x="184"/>
        <item m="1" x="31"/>
        <item m="1" x="137"/>
        <item m="1" x="188"/>
        <item m="1" x="109"/>
        <item m="1" x="94"/>
        <item m="1" x="115"/>
        <item m="1" x="75"/>
        <item m="1" x="11"/>
        <item m="1" x="211"/>
        <item m="1" x="20"/>
        <item m="1" x="147"/>
        <item m="1" x="67"/>
        <item m="1" x="158"/>
        <item m="1" x="163"/>
        <item m="1" x="161"/>
        <item m="1" x="50"/>
        <item m="1" x="157"/>
        <item m="1" x="225"/>
        <item m="1" x="248"/>
        <item m="1" x="171"/>
        <item m="1" x="154"/>
        <item m="1" x="232"/>
        <item m="1" x="162"/>
      </items>
    </pivotField>
    <pivotField compact="0" outline="0" showAll="0" defaultSubtotal="0"/>
  </pivotFields>
  <rowFields count="12">
    <field x="1"/>
    <field x="15"/>
    <field x="12"/>
    <field x="0"/>
    <field x="6"/>
    <field x="8"/>
    <field x="7"/>
    <field x="13"/>
    <field x="14"/>
    <field x="19"/>
    <field x="11"/>
    <field x="3"/>
  </rowFields>
  <rowItems count="39">
    <i>
      <x/>
    </i>
    <i r="1">
      <x v="23"/>
      <x v="941"/>
      <x v="14"/>
      <x v="8"/>
    </i>
    <i r="5">
      <x/>
      <x v="1696"/>
      <x v="52"/>
      <x v="462"/>
      <x v="66"/>
      <x v="15"/>
      <x v="691"/>
    </i>
    <i r="1">
      <x v="120"/>
      <x v="942"/>
      <x v="4"/>
      <x v="78"/>
    </i>
    <i r="5">
      <x/>
      <x v="1709"/>
      <x v="356"/>
      <x v="6"/>
      <x v="3"/>
      <x v="15"/>
      <x v="696"/>
    </i>
    <i>
      <x v="1"/>
    </i>
    <i r="1">
      <x/>
      <x/>
      <x/>
      <x v="78"/>
    </i>
    <i r="5">
      <x/>
      <x/>
      <x v="7"/>
      <x v="6"/>
      <x v="3"/>
      <x/>
      <x/>
    </i>
    <i r="3">
      <x v="1"/>
      <x v="13"/>
    </i>
    <i r="5">
      <x/>
      <x/>
      <x v="7"/>
      <x v="6"/>
      <x v="3"/>
      <x/>
      <x/>
    </i>
    <i r="3">
      <x v="3"/>
      <x v="190"/>
    </i>
    <i r="5">
      <x/>
      <x/>
      <x/>
      <x v="6"/>
      <x v="3"/>
      <x/>
      <x/>
    </i>
    <i r="3">
      <x v="7"/>
      <x v="39"/>
    </i>
    <i r="5">
      <x/>
      <x/>
      <x v="1"/>
      <x v="6"/>
      <x v="3"/>
      <x/>
      <x/>
    </i>
    <i r="3">
      <x v="10"/>
      <x v="52"/>
    </i>
    <i r="5">
      <x/>
      <x/>
      <x v="334"/>
      <x v="6"/>
      <x v="3"/>
      <x/>
      <x/>
    </i>
    <i r="3">
      <x v="12"/>
      <x v="78"/>
    </i>
    <i r="5">
      <x/>
      <x/>
      <x v="508"/>
      <x v="6"/>
      <x v="3"/>
      <x/>
      <x/>
    </i>
    <i r="3">
      <x v="15"/>
      <x v="52"/>
    </i>
    <i r="5">
      <x/>
      <x/>
      <x v="7"/>
      <x v="6"/>
      <x v="3"/>
      <x/>
      <x/>
    </i>
    <i r="3">
      <x v="16"/>
      <x v="52"/>
    </i>
    <i r="5">
      <x/>
      <x/>
      <x v="22"/>
      <x v="6"/>
      <x v="3"/>
      <x/>
      <x/>
    </i>
    <i>
      <x v="2"/>
    </i>
    <i r="1">
      <x/>
      <x/>
      <x v="13"/>
      <x v="1"/>
    </i>
    <i r="5">
      <x/>
      <x/>
      <x v="1"/>
      <x v="6"/>
      <x v="3"/>
      <x/>
      <x/>
    </i>
    <i>
      <x v="3"/>
    </i>
    <i r="1">
      <x/>
      <x v="937"/>
      <x v="6"/>
      <x v="8"/>
    </i>
    <i r="5">
      <x v="502"/>
      <x v="1713"/>
      <x v="241"/>
      <x v="498"/>
      <x v="110"/>
      <x v="13"/>
      <x v="692"/>
    </i>
    <i r="1">
      <x v="478"/>
      <x v="940"/>
      <x v="11"/>
      <x v="8"/>
    </i>
    <i r="5">
      <x/>
      <x v="1710"/>
      <x v="226"/>
      <x v="489"/>
      <x v="159"/>
      <x v="14"/>
      <x v="695"/>
    </i>
    <i>
      <x v="4"/>
    </i>
    <i r="1">
      <x/>
      <x/>
      <x v="2"/>
      <x v="130"/>
    </i>
    <i r="5">
      <x/>
      <x/>
      <x/>
      <x v="6"/>
      <x v="3"/>
      <x/>
      <x/>
    </i>
    <i r="3">
      <x v="5"/>
      <x v="130"/>
    </i>
    <i r="5">
      <x/>
      <x/>
      <x/>
      <x v="6"/>
      <x v="3"/>
      <x/>
      <x/>
    </i>
    <i r="3">
      <x v="8"/>
      <x v="130"/>
    </i>
    <i r="5">
      <x/>
      <x/>
      <x/>
      <x v="6"/>
      <x v="3"/>
      <x/>
      <x/>
    </i>
    <i r="3">
      <x v="9"/>
      <x v="130"/>
    </i>
    <i r="5">
      <x/>
      <x/>
      <x/>
      <x v="6"/>
      <x v="3"/>
      <x/>
      <x/>
    </i>
  </rowItems>
  <colItems count="1">
    <i/>
  </colItems>
  <formats count="606">
    <format dxfId="3029">
      <pivotArea type="all" dataOnly="0" outline="0" fieldPosition="0"/>
    </format>
    <format dxfId="3028">
      <pivotArea field="1" type="button" dataOnly="0" labelOnly="1" outline="0" axis="axisRow" fieldPosition="0"/>
    </format>
    <format dxfId="3027">
      <pivotArea field="15" type="button" dataOnly="0" labelOnly="1" outline="0" axis="axisRow" fieldPosition="1"/>
    </format>
    <format dxfId="3026">
      <pivotArea field="12" type="button" dataOnly="0" labelOnly="1" outline="0" axis="axisRow" fieldPosition="2"/>
    </format>
    <format dxfId="3025">
      <pivotArea field="0" type="button" dataOnly="0" labelOnly="1" outline="0" axis="axisRow" fieldPosition="3"/>
    </format>
    <format dxfId="3024">
      <pivotArea field="6" type="button" dataOnly="0" labelOnly="1" outline="0" axis="axisRow" fieldPosition="4"/>
    </format>
    <format dxfId="3023">
      <pivotArea field="7" type="button" dataOnly="0" labelOnly="1" outline="0" axis="axisRow" fieldPosition="6"/>
    </format>
    <format dxfId="3022">
      <pivotArea field="13" type="button" dataOnly="0" labelOnly="1" outline="0" axis="axisRow" fieldPosition="7"/>
    </format>
    <format dxfId="3021">
      <pivotArea field="14" type="button" dataOnly="0" labelOnly="1" outline="0" axis="axisRow" fieldPosition="8"/>
    </format>
    <format dxfId="3020">
      <pivotArea field="11" type="button" dataOnly="0" labelOnly="1" outline="0" axis="axisRow" fieldPosition="10"/>
    </format>
    <format dxfId="3019">
      <pivotArea field="3" type="button" dataOnly="0" labelOnly="1" outline="0" axis="axisRow" fieldPosition="11"/>
    </format>
    <format dxfId="3018">
      <pivotArea dataOnly="0" labelOnly="1" outline="0" fieldPosition="0">
        <references count="1">
          <reference field="1" count="0"/>
        </references>
      </pivotArea>
    </format>
    <format dxfId="3017">
      <pivotArea dataOnly="0" labelOnly="1" outline="0" fieldPosition="0">
        <references count="2">
          <reference field="1" count="1" selected="0">
            <x v="6"/>
          </reference>
          <reference field="15" count="4">
            <x v="27"/>
            <x v="277"/>
            <x v="308"/>
            <x v="632"/>
          </reference>
        </references>
      </pivotArea>
    </format>
    <format dxfId="3016">
      <pivotArea dataOnly="0" labelOnly="1" outline="0" fieldPosition="0">
        <references count="2">
          <reference field="1" count="1" selected="0">
            <x v="7"/>
          </reference>
          <reference field="15" count="2">
            <x v="65"/>
            <x v="134"/>
          </reference>
        </references>
      </pivotArea>
    </format>
    <format dxfId="3015">
      <pivotArea dataOnly="0" labelOnly="1" outline="0" fieldPosition="0">
        <references count="2">
          <reference field="1" count="1" selected="0">
            <x v="8"/>
          </reference>
          <reference field="15" count="1">
            <x v="193"/>
          </reference>
        </references>
      </pivotArea>
    </format>
    <format dxfId="3014">
      <pivotArea dataOnly="0" labelOnly="1" outline="0" fieldPosition="0">
        <references count="2">
          <reference field="1" count="1" selected="0">
            <x v="1"/>
          </reference>
          <reference field="15" count="1">
            <x v="0"/>
          </reference>
        </references>
      </pivotArea>
    </format>
    <format dxfId="3013">
      <pivotArea dataOnly="0" labelOnly="1" outline="0" fieldPosition="0">
        <references count="2">
          <reference field="1" count="1" selected="0">
            <x v="3"/>
          </reference>
          <reference field="15" count="3">
            <x v="32"/>
            <x v="601"/>
            <x v="638"/>
          </reference>
        </references>
      </pivotArea>
    </format>
    <format dxfId="3012">
      <pivotArea dataOnly="0" labelOnly="1" outline="0" fieldPosition="0">
        <references count="2">
          <reference field="1" count="1" selected="0">
            <x v="2"/>
          </reference>
          <reference field="15" count="1">
            <x v="0"/>
          </reference>
        </references>
      </pivotArea>
    </format>
    <format dxfId="3011">
      <pivotArea dataOnly="0" labelOnly="1" outline="0" fieldPosition="0">
        <references count="3">
          <reference field="1" count="1" selected="0">
            <x v="6"/>
          </reference>
          <reference field="12" count="1">
            <x v="6"/>
          </reference>
          <reference field="15" count="1" selected="0">
            <x v="27"/>
          </reference>
        </references>
      </pivotArea>
    </format>
    <format dxfId="3010">
      <pivotArea dataOnly="0" labelOnly="1" outline="0" fieldPosition="0">
        <references count="3">
          <reference field="1" count="1" selected="0">
            <x v="6"/>
          </reference>
          <reference field="12" count="1">
            <x v="4"/>
          </reference>
          <reference field="15" count="1" selected="0">
            <x v="277"/>
          </reference>
        </references>
      </pivotArea>
    </format>
    <format dxfId="3009">
      <pivotArea dataOnly="0" labelOnly="1" outline="0" fieldPosition="0">
        <references count="3">
          <reference field="1" count="1" selected="0">
            <x v="6"/>
          </reference>
          <reference field="12" count="1">
            <x v="5"/>
          </reference>
          <reference field="15" count="1" selected="0">
            <x v="308"/>
          </reference>
        </references>
      </pivotArea>
    </format>
    <format dxfId="3008">
      <pivotArea dataOnly="0" labelOnly="1" outline="0" fieldPosition="0">
        <references count="3">
          <reference field="1" count="1" selected="0">
            <x v="6"/>
          </reference>
          <reference field="12" count="1">
            <x v="0"/>
          </reference>
          <reference field="15" count="1" selected="0">
            <x v="632"/>
          </reference>
        </references>
      </pivotArea>
    </format>
    <format dxfId="3007">
      <pivotArea dataOnly="0" labelOnly="1" outline="0" fieldPosition="0">
        <references count="3">
          <reference field="1" count="1" selected="0">
            <x v="7"/>
          </reference>
          <reference field="12" count="1">
            <x v="0"/>
          </reference>
          <reference field="15" count="1" selected="0">
            <x v="65"/>
          </reference>
        </references>
      </pivotArea>
    </format>
    <format dxfId="3006">
      <pivotArea dataOnly="0" labelOnly="1" outline="0" fieldPosition="0">
        <references count="3">
          <reference field="1" count="1" selected="0">
            <x v="7"/>
          </reference>
          <reference field="12" count="1">
            <x v="7"/>
          </reference>
          <reference field="15" count="1" selected="0">
            <x v="134"/>
          </reference>
        </references>
      </pivotArea>
    </format>
    <format dxfId="3005">
      <pivotArea dataOnly="0" labelOnly="1" outline="0" fieldPosition="0">
        <references count="3">
          <reference field="1" count="1" selected="0">
            <x v="8"/>
          </reference>
          <reference field="12" count="1">
            <x v="0"/>
          </reference>
          <reference field="15" count="1" selected="0">
            <x v="193"/>
          </reference>
        </references>
      </pivotArea>
    </format>
    <format dxfId="3004">
      <pivotArea dataOnly="0" labelOnly="1" outline="0" fieldPosition="0">
        <references count="3">
          <reference field="1" count="1" selected="0">
            <x v="1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3003">
      <pivotArea dataOnly="0" labelOnly="1" outline="0" fieldPosition="0">
        <references count="3">
          <reference field="1" count="1" selected="0">
            <x v="3"/>
          </reference>
          <reference field="12" count="1">
            <x v="3"/>
          </reference>
          <reference field="15" count="1" selected="0">
            <x v="32"/>
          </reference>
        </references>
      </pivotArea>
    </format>
    <format dxfId="3002">
      <pivotArea dataOnly="0" labelOnly="1" outline="0" fieldPosition="0">
        <references count="3">
          <reference field="1" count="1" selected="0">
            <x v="3"/>
          </reference>
          <reference field="12" count="1">
            <x v="1"/>
          </reference>
          <reference field="15" count="1" selected="0">
            <x v="601"/>
          </reference>
        </references>
      </pivotArea>
    </format>
    <format dxfId="3001">
      <pivotArea dataOnly="0" labelOnly="1" outline="0" fieldPosition="0">
        <references count="3">
          <reference field="1" count="1" selected="0">
            <x v="3"/>
          </reference>
          <reference field="12" count="1">
            <x v="2"/>
          </reference>
          <reference field="15" count="1" selected="0">
            <x v="638"/>
          </reference>
        </references>
      </pivotArea>
    </format>
    <format dxfId="3000">
      <pivotArea dataOnly="0" labelOnly="1" outline="0" fieldPosition="0">
        <references count="3">
          <reference field="1" count="1" selected="0">
            <x v="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999">
      <pivotArea dataOnly="0" labelOnly="1" outline="0" fieldPosition="0">
        <references count="4">
          <reference field="0" count="1">
            <x v="6"/>
          </reference>
          <reference field="1" count="1" selected="0">
            <x v="6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998">
      <pivotArea dataOnly="0" labelOnly="1" outline="0" fieldPosition="0">
        <references count="4">
          <reference field="0" count="1">
            <x v="8"/>
          </reference>
          <reference field="1" count="1" selected="0">
            <x v="6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997">
      <pivotArea dataOnly="0" labelOnly="1" outline="0" fieldPosition="0">
        <references count="4">
          <reference field="0" count="1">
            <x v="3"/>
          </reference>
          <reference field="1" count="1" selected="0">
            <x v="6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996">
      <pivotArea dataOnly="0" labelOnly="1" outline="0" fieldPosition="0">
        <references count="4">
          <reference field="0" count="1">
            <x v="10"/>
          </reference>
          <reference field="1" count="1" selected="0">
            <x v="6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995">
      <pivotArea dataOnly="0" labelOnly="1" outline="0" fieldPosition="0">
        <references count="4">
          <reference field="0" count="1">
            <x v="2"/>
          </reference>
          <reference field="1" count="1" selected="0">
            <x v="7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994">
      <pivotArea dataOnly="0" labelOnly="1" outline="0" fieldPosition="0">
        <references count="4">
          <reference field="0" count="1">
            <x v="11"/>
          </reference>
          <reference field="1" count="1" selected="0">
            <x v="7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993">
      <pivotArea dataOnly="0" labelOnly="1" outline="0" fieldPosition="0">
        <references count="4">
          <reference field="0" count="1">
            <x v="7"/>
          </reference>
          <reference field="1" count="1" selected="0">
            <x v="8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992">
      <pivotArea dataOnly="0" labelOnly="1" outline="0" fieldPosition="0">
        <references count="4">
          <reference field="0" count="3">
            <x v="1"/>
            <x v="9"/>
            <x v="16"/>
          </reference>
          <reference field="1" count="1" selected="0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91">
      <pivotArea dataOnly="0" labelOnly="1" outline="0" fieldPosition="0">
        <references count="4">
          <reference field="0" count="1">
            <x v="13"/>
          </reference>
          <reference field="1" count="1" selected="0">
            <x v="3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990">
      <pivotArea dataOnly="0" labelOnly="1" outline="0" fieldPosition="0">
        <references count="4">
          <reference field="0" count="1">
            <x v="0"/>
          </reference>
          <reference field="1" count="1" selected="0">
            <x v="3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989">
      <pivotArea dataOnly="0" labelOnly="1" outline="0" fieldPosition="0">
        <references count="4">
          <reference field="0" count="1">
            <x v="12"/>
          </reference>
          <reference field="1" count="1" selected="0">
            <x v="3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988">
      <pivotArea dataOnly="0" labelOnly="1" outline="0" fieldPosition="0">
        <references count="4">
          <reference field="0" count="4">
            <x v="4"/>
            <x v="5"/>
            <x v="14"/>
            <x v="15"/>
          </reference>
          <reference field="1" count="1" selected="0">
            <x v="2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87">
      <pivotArea dataOnly="0" labelOnly="1" fieldPosition="0">
        <references count="5">
          <reference field="0" count="1" selected="0">
            <x v="6"/>
          </reference>
          <reference field="1" count="1" selected="0">
            <x v="6"/>
          </reference>
          <reference field="6" count="1">
            <x v="7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986">
      <pivotArea dataOnly="0" labelOnly="1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6" count="1">
            <x v="5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985">
      <pivotArea dataOnly="0" labelOnly="1" fieldPosition="0">
        <references count="5">
          <reference field="0" count="1" selected="0">
            <x v="3"/>
          </reference>
          <reference field="1" count="1" selected="0">
            <x v="6"/>
          </reference>
          <reference field="6" count="1">
            <x v="6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984">
      <pivotArea dataOnly="0" labelOnly="1" fieldPosition="0">
        <references count="5">
          <reference field="0" count="1" selected="0">
            <x v="10"/>
          </reference>
          <reference field="1" count="1" selected="0">
            <x v="6"/>
          </reference>
          <reference field="6" count="1">
            <x v="8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983">
      <pivotArea dataOnly="0" labelOnly="1" fieldPosition="0">
        <references count="5">
          <reference field="0" count="1" selected="0">
            <x v="2"/>
          </reference>
          <reference field="1" count="1" selected="0">
            <x v="7"/>
          </reference>
          <reference field="6" count="1">
            <x v="6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982">
      <pivotArea dataOnly="0" labelOnly="1" fieldPosition="0">
        <references count="5">
          <reference field="0" count="1" selected="0">
            <x v="11"/>
          </reference>
          <reference field="1" count="1" selected="0">
            <x v="7"/>
          </reference>
          <reference field="6" count="1">
            <x v="6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981">
      <pivotArea dataOnly="0" labelOnly="1" fieldPosition="0">
        <references count="5">
          <reference field="0" count="1" selected="0">
            <x v="7"/>
          </reference>
          <reference field="1" count="1" selected="0">
            <x v="8"/>
          </reference>
          <reference field="6" count="1">
            <x v="0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980">
      <pivotArea dataOnly="0" labelOnly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6" count="1">
            <x v="19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9">
      <pivotArea dataOnly="0" labelOnly="1" fieldPosition="0">
        <references count="5">
          <reference field="0" count="1" selected="0">
            <x v="9"/>
          </reference>
          <reference field="1" count="1" selected="0">
            <x v="1"/>
          </reference>
          <reference field="6" count="1">
            <x v="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8">
      <pivotArea dataOnly="0" labelOnly="1" fieldPosition="0">
        <references count="5">
          <reference field="0" count="1" selected="0">
            <x v="16"/>
          </reference>
          <reference field="1" count="1" selected="0">
            <x v="1"/>
          </reference>
          <reference field="6" count="1">
            <x v="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7">
      <pivotArea dataOnly="0" labelOnly="1" fieldPosition="0">
        <references count="5">
          <reference field="0" count="1" selected="0">
            <x v="13"/>
          </reference>
          <reference field="1" count="1" selected="0">
            <x v="3"/>
          </reference>
          <reference field="6" count="1">
            <x v="4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976">
      <pivotArea dataOnly="0" labelOnly="1" fieldPosition="0">
        <references count="5">
          <reference field="0" count="1" selected="0">
            <x v="0"/>
          </reference>
          <reference field="1" count="1" selected="0">
            <x v="3"/>
          </reference>
          <reference field="6" count="1">
            <x v="2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975">
      <pivotArea dataOnly="0" labelOnly="1" fieldPosition="0">
        <references count="5">
          <reference field="0" count="1" selected="0">
            <x v="12"/>
          </reference>
          <reference field="1" count="1" selected="0">
            <x v="3"/>
          </reference>
          <reference field="6" count="1">
            <x v="3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974">
      <pivotArea dataOnly="0" labelOnly="1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3">
      <pivotArea dataOnly="0" labelOnly="1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2">
      <pivotArea dataOnly="0" labelOnly="1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1">
      <pivotArea dataOnly="0" labelOnly="1" fieldPosition="0">
        <references count="5">
          <reference field="0" count="1" selected="0">
            <x v="15"/>
          </reference>
          <reference field="1" count="1" selected="0">
            <x v="2"/>
          </reference>
          <reference field="6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70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8" count="1">
            <x v="0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969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8" count="1">
            <x v="0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968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967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966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965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964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8" count="1">
            <x v="2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963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8" count="1">
            <x v="4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62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61">
      <pivotArea dataOnly="0" labelOnly="1" outline="0" fieldPosition="0">
        <references count="6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60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8" count="1">
            <x v="0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95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958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8" count="1">
            <x v="0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957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56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55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53">
      <pivotArea dataOnly="0" labelOnly="1" fieldPosition="0">
        <references count="7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952">
      <pivotArea dataOnly="0" labelOnly="1" fieldPosition="0">
        <references count="7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951">
      <pivotArea dataOnly="0" labelOnly="1" fieldPosition="0">
        <references count="7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950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949">
      <pivotArea dataOnly="0" labelOnly="1" fieldPosition="0">
        <references count="7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948">
      <pivotArea dataOnly="0" labelOnly="1" fieldPosition="0">
        <references count="7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947">
      <pivotArea dataOnly="0" labelOnly="1" fieldPosition="0">
        <references count="7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946">
      <pivotArea dataOnly="0" labelOnly="1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4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44">
      <pivotArea dataOnly="0" labelOnly="1" fieldPosition="0">
        <references count="7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43">
      <pivotArea dataOnly="0" labelOnly="1" fieldPosition="0">
        <references count="7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942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941">
      <pivotArea dataOnly="0" labelOnly="1" fieldPosition="0">
        <references count="7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940">
      <pivotArea dataOnly="0" labelOnly="1" fieldPosition="0">
        <references count="7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39">
      <pivotArea dataOnly="0" labelOnly="1" fieldPosition="0">
        <references count="7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38">
      <pivotArea dataOnly="0" labelOnly="1" fieldPosition="0">
        <references count="7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37">
      <pivotArea dataOnly="0" labelOnly="1" fieldPosition="0">
        <references count="7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936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 selected="0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3" count="1">
            <x v="8"/>
          </reference>
          <reference field="15" count="1" selected="0">
            <x v="27"/>
          </reference>
        </references>
      </pivotArea>
    </format>
    <format dxfId="2935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 selected="0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3" count="1">
            <x v="5"/>
          </reference>
          <reference field="15" count="1" selected="0">
            <x v="277"/>
          </reference>
        </references>
      </pivotArea>
    </format>
    <format dxfId="2934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 selected="0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3" count="1">
            <x v="6"/>
          </reference>
          <reference field="15" count="1" selected="0">
            <x v="308"/>
          </reference>
        </references>
      </pivotArea>
    </format>
    <format dxfId="2933">
      <pivotArea dataOnly="0" labelOnly="1" outline="0" fieldPosition="0">
        <references count="8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3" count="1">
            <x v="11"/>
          </reference>
          <reference field="15" count="1" selected="0">
            <x v="632"/>
          </reference>
        </references>
      </pivotArea>
    </format>
    <format dxfId="2932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0"/>
          </reference>
          <reference field="15" count="1" selected="0">
            <x v="65"/>
          </reference>
        </references>
      </pivotArea>
    </format>
    <format dxfId="2931">
      <pivotArea dataOnly="0" labelOnly="1" outline="0" fieldPosition="0">
        <references count="8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3" count="1">
            <x v="9"/>
          </reference>
          <reference field="15" count="1" selected="0">
            <x v="134"/>
          </reference>
        </references>
      </pivotArea>
    </format>
    <format dxfId="2930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3" count="1">
            <x v="7"/>
          </reference>
          <reference field="15" count="1" selected="0">
            <x v="193"/>
          </reference>
        </references>
      </pivotArea>
    </format>
    <format dxfId="2929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928">
      <pivotArea dataOnly="0" labelOnly="1" outline="0" fieldPosition="0">
        <references count="8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927">
      <pivotArea dataOnly="0" labelOnly="1" outline="0" fieldPosition="0">
        <references count="8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926">
      <pivotArea dataOnly="0" labelOnly="1" outline="0" fieldPosition="0">
        <references count="8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3" count="1">
            <x v="4"/>
          </reference>
          <reference field="15" count="1" selected="0">
            <x v="32"/>
          </reference>
        </references>
      </pivotArea>
    </format>
    <format dxfId="292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 selected="0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3" count="1">
            <x v="2"/>
          </reference>
          <reference field="15" count="1" selected="0">
            <x v="601"/>
          </reference>
        </references>
      </pivotArea>
    </format>
    <format dxfId="2924">
      <pivotArea dataOnly="0" labelOnly="1" outline="0" fieldPosition="0">
        <references count="8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 selected="0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3" count="1">
            <x v="3"/>
          </reference>
          <reference field="15" count="1" selected="0">
            <x v="638"/>
          </reference>
        </references>
      </pivotArea>
    </format>
    <format dxfId="2923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922">
      <pivotArea dataOnly="0" labelOnly="1" outline="0" fieldPosition="0">
        <references count="8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921">
      <pivotArea dataOnly="0" labelOnly="1" outline="0" fieldPosition="0">
        <references count="8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920">
      <pivotArea dataOnly="0" labelOnly="1" outline="0" fieldPosition="0">
        <references count="8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 selected="0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3" count="1" selected="0">
            <x v="8"/>
          </reference>
          <reference field="14" count="1">
            <x v="7"/>
          </reference>
          <reference field="15" count="1" selected="0">
            <x v="27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 selected="0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3" count="1" selected="0">
            <x v="5"/>
          </reference>
          <reference field="14" count="1">
            <x v="4"/>
          </reference>
          <reference field="15" count="1" selected="0">
            <x v="277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 selected="0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3" count="1" selected="0">
            <x v="6"/>
          </reference>
          <reference field="14" count="1">
            <x v="5"/>
          </reference>
          <reference field="15" count="1" selected="0">
            <x v="308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3" count="1" selected="0">
            <x v="11"/>
          </reference>
          <reference field="14" count="1">
            <x v="10"/>
          </reference>
          <reference field="15" count="1" selected="0">
            <x v="632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0"/>
          </reference>
          <reference field="14" count="1">
            <x v="9"/>
          </reference>
          <reference field="15" count="1" selected="0">
            <x v="65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3" count="1" selected="0">
            <x v="9"/>
          </reference>
          <reference field="14" count="1">
            <x v="8"/>
          </reference>
          <reference field="15" count="1" selected="0">
            <x v="134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3" count="1" selected="0">
            <x v="7"/>
          </reference>
          <reference field="14" count="1">
            <x v="6"/>
          </reference>
          <reference field="15" count="1" selected="0">
            <x v="193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3" count="1" selected="0">
            <x v="4"/>
          </reference>
          <reference field="14" count="1">
            <x v="3"/>
          </reference>
          <reference field="15" count="1" selected="0">
            <x v="32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 selected="0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14" count="1">
            <x v="1"/>
          </reference>
          <reference field="15" count="1" selected="0">
            <x v="601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 selected="0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3" count="1" selected="0">
            <x v="3"/>
          </reference>
          <reference field="14" count="1">
            <x v="2"/>
          </reference>
          <reference field="15" count="1" selected="0">
            <x v="638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02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1"/>
          </reference>
          <reference field="14" count="1" selected="0">
            <x v="10"/>
          </reference>
          <reference field="15" count="1" selected="0">
            <x v="632"/>
          </reference>
        </references>
      </pivotArea>
    </format>
    <format dxfId="2901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7"/>
          </reference>
          <reference field="14" count="1" selected="0">
            <x v="6"/>
          </reference>
          <reference field="15" count="1" selected="0">
            <x v="193"/>
          </reference>
        </references>
      </pivotArea>
    </format>
    <format dxfId="2900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9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8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7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6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5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3">
      <pivotArea dataOnly="0" labelOnly="1" outline="0" fieldPosition="0">
        <references count="11">
          <reference field="0" count="1" selected="0">
            <x v="10"/>
          </reference>
          <reference field="1" count="1" selected="0">
            <x v="6"/>
          </reference>
          <reference field="3" count="1">
            <x v="0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1"/>
          </reference>
          <reference field="14" count="1" selected="0">
            <x v="10"/>
          </reference>
          <reference field="15" count="1" selected="0">
            <x v="632"/>
          </reference>
        </references>
      </pivotArea>
    </format>
    <format dxfId="2892">
      <pivotArea dataOnly="0" labelOnly="1" outline="0" fieldPosition="0">
        <references count="11">
          <reference field="0" count="1" selected="0">
            <x v="7"/>
          </reference>
          <reference field="1" count="1" selected="0">
            <x v="8"/>
          </reference>
          <reference field="3" count="1">
            <x v="0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7"/>
          </reference>
          <reference field="14" count="1" selected="0">
            <x v="6"/>
          </reference>
          <reference field="15" count="1" selected="0">
            <x v="193"/>
          </reference>
        </references>
      </pivotArea>
    </format>
    <format dxfId="2891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90">
      <pivotArea dataOnly="0" labelOnly="1" outline="0" fieldPosition="0">
        <references count="11">
          <reference field="0" count="1" selected="0">
            <x v="9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89">
      <pivotArea dataOnly="0" labelOnly="1" outline="0" fieldPosition="0">
        <references count="11">
          <reference field="0" count="1" selected="0">
            <x v="16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88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87">
      <pivotArea dataOnly="0" labelOnly="1" outline="0" fieldPosition="0">
        <references count="11">
          <reference field="0" count="1" selected="0">
            <x v="5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86">
      <pivotArea dataOnly="0" labelOnly="1" outline="0" fieldPosition="0">
        <references count="11">
          <reference field="0" count="1" selected="0">
            <x v="14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85">
      <pivotArea dataOnly="0" labelOnly="1" outline="0" fieldPosition="0">
        <references count="11">
          <reference field="0" count="1" selected="0">
            <x v="15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884">
      <pivotArea type="all" dataOnly="0" outline="0" fieldPosition="0"/>
    </format>
    <format dxfId="2883">
      <pivotArea field="1" type="button" dataOnly="0" labelOnly="1" outline="0" axis="axisRow" fieldPosition="0"/>
    </format>
    <format dxfId="2882">
      <pivotArea field="15" type="button" dataOnly="0" labelOnly="1" outline="0" axis="axisRow" fieldPosition="1"/>
    </format>
    <format dxfId="2881">
      <pivotArea field="12" type="button" dataOnly="0" labelOnly="1" outline="0" axis="axisRow" fieldPosition="2"/>
    </format>
    <format dxfId="2880">
      <pivotArea field="0" type="button" dataOnly="0" labelOnly="1" outline="0" axis="axisRow" fieldPosition="3"/>
    </format>
    <format dxfId="2879">
      <pivotArea field="6" type="button" dataOnly="0" labelOnly="1" outline="0" axis="axisRow" fieldPosition="4"/>
    </format>
    <format dxfId="2878">
      <pivotArea field="7" type="button" dataOnly="0" labelOnly="1" outline="0" axis="axisRow" fieldPosition="6"/>
    </format>
    <format dxfId="2877">
      <pivotArea field="13" type="button" dataOnly="0" labelOnly="1" outline="0" axis="axisRow" fieldPosition="7"/>
    </format>
    <format dxfId="2876">
      <pivotArea field="14" type="button" dataOnly="0" labelOnly="1" outline="0" axis="axisRow" fieldPosition="8"/>
    </format>
    <format dxfId="2875">
      <pivotArea field="11" type="button" dataOnly="0" labelOnly="1" outline="0" axis="axisRow" fieldPosition="10"/>
    </format>
    <format dxfId="2874">
      <pivotArea field="3" type="button" dataOnly="0" labelOnly="1" outline="0" axis="axisRow" fieldPosition="11"/>
    </format>
    <format dxfId="2873">
      <pivotArea dataOnly="0" labelOnly="1" outline="0" fieldPosition="0">
        <references count="1">
          <reference field="1" count="0"/>
        </references>
      </pivotArea>
    </format>
    <format dxfId="2872">
      <pivotArea dataOnly="0" labelOnly="1" outline="0" fieldPosition="0">
        <references count="2">
          <reference field="1" count="1" selected="0">
            <x v="6"/>
          </reference>
          <reference field="15" count="4">
            <x v="27"/>
            <x v="277"/>
            <x v="308"/>
            <x v="632"/>
          </reference>
        </references>
      </pivotArea>
    </format>
    <format dxfId="2871">
      <pivotArea dataOnly="0" labelOnly="1" outline="0" fieldPosition="0">
        <references count="2">
          <reference field="1" count="1" selected="0">
            <x v="7"/>
          </reference>
          <reference field="15" count="2">
            <x v="65"/>
            <x v="134"/>
          </reference>
        </references>
      </pivotArea>
    </format>
    <format dxfId="2870">
      <pivotArea dataOnly="0" labelOnly="1" outline="0" fieldPosition="0">
        <references count="2">
          <reference field="1" count="1" selected="0">
            <x v="8"/>
          </reference>
          <reference field="15" count="1">
            <x v="193"/>
          </reference>
        </references>
      </pivotArea>
    </format>
    <format dxfId="2869">
      <pivotArea dataOnly="0" labelOnly="1" outline="0" fieldPosition="0">
        <references count="2">
          <reference field="1" count="1" selected="0">
            <x v="1"/>
          </reference>
          <reference field="15" count="1">
            <x v="0"/>
          </reference>
        </references>
      </pivotArea>
    </format>
    <format dxfId="2868">
      <pivotArea dataOnly="0" labelOnly="1" outline="0" fieldPosition="0">
        <references count="2">
          <reference field="1" count="1" selected="0">
            <x v="3"/>
          </reference>
          <reference field="15" count="3">
            <x v="32"/>
            <x v="601"/>
            <x v="638"/>
          </reference>
        </references>
      </pivotArea>
    </format>
    <format dxfId="2867">
      <pivotArea dataOnly="0" labelOnly="1" outline="0" fieldPosition="0">
        <references count="2">
          <reference field="1" count="1" selected="0">
            <x v="2"/>
          </reference>
          <reference field="15" count="1">
            <x v="0"/>
          </reference>
        </references>
      </pivotArea>
    </format>
    <format dxfId="2866">
      <pivotArea dataOnly="0" labelOnly="1" outline="0" fieldPosition="0">
        <references count="3">
          <reference field="1" count="1" selected="0">
            <x v="6"/>
          </reference>
          <reference field="12" count="1">
            <x v="6"/>
          </reference>
          <reference field="15" count="1" selected="0">
            <x v="27"/>
          </reference>
        </references>
      </pivotArea>
    </format>
    <format dxfId="2865">
      <pivotArea dataOnly="0" labelOnly="1" outline="0" fieldPosition="0">
        <references count="3">
          <reference field="1" count="1" selected="0">
            <x v="6"/>
          </reference>
          <reference field="12" count="1">
            <x v="4"/>
          </reference>
          <reference field="15" count="1" selected="0">
            <x v="277"/>
          </reference>
        </references>
      </pivotArea>
    </format>
    <format dxfId="2864">
      <pivotArea dataOnly="0" labelOnly="1" outline="0" fieldPosition="0">
        <references count="3">
          <reference field="1" count="1" selected="0">
            <x v="6"/>
          </reference>
          <reference field="12" count="1">
            <x v="5"/>
          </reference>
          <reference field="15" count="1" selected="0">
            <x v="308"/>
          </reference>
        </references>
      </pivotArea>
    </format>
    <format dxfId="2863">
      <pivotArea dataOnly="0" labelOnly="1" outline="0" fieldPosition="0">
        <references count="3">
          <reference field="1" count="1" selected="0">
            <x v="6"/>
          </reference>
          <reference field="12" count="1">
            <x v="0"/>
          </reference>
          <reference field="15" count="1" selected="0">
            <x v="632"/>
          </reference>
        </references>
      </pivotArea>
    </format>
    <format dxfId="2862">
      <pivotArea dataOnly="0" labelOnly="1" outline="0" fieldPosition="0">
        <references count="3">
          <reference field="1" count="1" selected="0">
            <x v="7"/>
          </reference>
          <reference field="12" count="1">
            <x v="0"/>
          </reference>
          <reference field="15" count="1" selected="0">
            <x v="65"/>
          </reference>
        </references>
      </pivotArea>
    </format>
    <format dxfId="2861">
      <pivotArea dataOnly="0" labelOnly="1" outline="0" fieldPosition="0">
        <references count="3">
          <reference field="1" count="1" selected="0">
            <x v="7"/>
          </reference>
          <reference field="12" count="1">
            <x v="7"/>
          </reference>
          <reference field="15" count="1" selected="0">
            <x v="134"/>
          </reference>
        </references>
      </pivotArea>
    </format>
    <format dxfId="2860">
      <pivotArea dataOnly="0" labelOnly="1" outline="0" fieldPosition="0">
        <references count="3">
          <reference field="1" count="1" selected="0">
            <x v="8"/>
          </reference>
          <reference field="12" count="1">
            <x v="0"/>
          </reference>
          <reference field="15" count="1" selected="0">
            <x v="193"/>
          </reference>
        </references>
      </pivotArea>
    </format>
    <format dxfId="2859">
      <pivotArea dataOnly="0" labelOnly="1" outline="0" fieldPosition="0">
        <references count="3">
          <reference field="1" count="1" selected="0">
            <x v="1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858">
      <pivotArea dataOnly="0" labelOnly="1" outline="0" fieldPosition="0">
        <references count="3">
          <reference field="1" count="1" selected="0">
            <x v="3"/>
          </reference>
          <reference field="12" count="1">
            <x v="3"/>
          </reference>
          <reference field="15" count="1" selected="0">
            <x v="32"/>
          </reference>
        </references>
      </pivotArea>
    </format>
    <format dxfId="2857">
      <pivotArea dataOnly="0" labelOnly="1" outline="0" fieldPosition="0">
        <references count="3">
          <reference field="1" count="1" selected="0">
            <x v="3"/>
          </reference>
          <reference field="12" count="1">
            <x v="1"/>
          </reference>
          <reference field="15" count="1" selected="0">
            <x v="601"/>
          </reference>
        </references>
      </pivotArea>
    </format>
    <format dxfId="2856">
      <pivotArea dataOnly="0" labelOnly="1" outline="0" fieldPosition="0">
        <references count="3">
          <reference field="1" count="1" selected="0">
            <x v="3"/>
          </reference>
          <reference field="12" count="1">
            <x v="2"/>
          </reference>
          <reference field="15" count="1" selected="0">
            <x v="638"/>
          </reference>
        </references>
      </pivotArea>
    </format>
    <format dxfId="2855">
      <pivotArea dataOnly="0" labelOnly="1" outline="0" fieldPosition="0">
        <references count="3">
          <reference field="1" count="1" selected="0">
            <x v="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854">
      <pivotArea dataOnly="0" labelOnly="1" outline="0" fieldPosition="0">
        <references count="4">
          <reference field="0" count="1">
            <x v="6"/>
          </reference>
          <reference field="1" count="1" selected="0">
            <x v="6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853">
      <pivotArea dataOnly="0" labelOnly="1" outline="0" fieldPosition="0">
        <references count="4">
          <reference field="0" count="1">
            <x v="8"/>
          </reference>
          <reference field="1" count="1" selected="0">
            <x v="6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852">
      <pivotArea dataOnly="0" labelOnly="1" outline="0" fieldPosition="0">
        <references count="4">
          <reference field="0" count="1">
            <x v="3"/>
          </reference>
          <reference field="1" count="1" selected="0">
            <x v="6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851">
      <pivotArea dataOnly="0" labelOnly="1" outline="0" fieldPosition="0">
        <references count="4">
          <reference field="0" count="1">
            <x v="10"/>
          </reference>
          <reference field="1" count="1" selected="0">
            <x v="6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850">
      <pivotArea dataOnly="0" labelOnly="1" outline="0" fieldPosition="0">
        <references count="4">
          <reference field="0" count="1">
            <x v="2"/>
          </reference>
          <reference field="1" count="1" selected="0">
            <x v="7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849">
      <pivotArea dataOnly="0" labelOnly="1" outline="0" fieldPosition="0">
        <references count="4">
          <reference field="0" count="1">
            <x v="11"/>
          </reference>
          <reference field="1" count="1" selected="0">
            <x v="7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848">
      <pivotArea dataOnly="0" labelOnly="1" outline="0" fieldPosition="0">
        <references count="4">
          <reference field="0" count="1">
            <x v="7"/>
          </reference>
          <reference field="1" count="1" selected="0">
            <x v="8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847">
      <pivotArea dataOnly="0" labelOnly="1" outline="0" fieldPosition="0">
        <references count="4">
          <reference field="0" count="3">
            <x v="1"/>
            <x v="9"/>
            <x v="16"/>
          </reference>
          <reference field="1" count="1" selected="0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46">
      <pivotArea dataOnly="0" labelOnly="1" outline="0" fieldPosition="0">
        <references count="4">
          <reference field="0" count="1">
            <x v="13"/>
          </reference>
          <reference field="1" count="1" selected="0">
            <x v="3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845">
      <pivotArea dataOnly="0" labelOnly="1" outline="0" fieldPosition="0">
        <references count="4">
          <reference field="0" count="1">
            <x v="0"/>
          </reference>
          <reference field="1" count="1" selected="0">
            <x v="3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844">
      <pivotArea dataOnly="0" labelOnly="1" outline="0" fieldPosition="0">
        <references count="4">
          <reference field="0" count="1">
            <x v="12"/>
          </reference>
          <reference field="1" count="1" selected="0">
            <x v="3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843">
      <pivotArea dataOnly="0" labelOnly="1" outline="0" fieldPosition="0">
        <references count="4">
          <reference field="0" count="4">
            <x v="4"/>
            <x v="5"/>
            <x v="14"/>
            <x v="15"/>
          </reference>
          <reference field="1" count="1" selected="0">
            <x v="2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42">
      <pivotArea dataOnly="0" labelOnly="1" fieldPosition="0">
        <references count="5">
          <reference field="0" count="1" selected="0">
            <x v="6"/>
          </reference>
          <reference field="1" count="1" selected="0">
            <x v="6"/>
          </reference>
          <reference field="6" count="1">
            <x v="7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841">
      <pivotArea dataOnly="0" labelOnly="1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6" count="1">
            <x v="5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840">
      <pivotArea dataOnly="0" labelOnly="1" fieldPosition="0">
        <references count="5">
          <reference field="0" count="1" selected="0">
            <x v="3"/>
          </reference>
          <reference field="1" count="1" selected="0">
            <x v="6"/>
          </reference>
          <reference field="6" count="1">
            <x v="6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839">
      <pivotArea dataOnly="0" labelOnly="1" fieldPosition="0">
        <references count="5">
          <reference field="0" count="1" selected="0">
            <x v="10"/>
          </reference>
          <reference field="1" count="1" selected="0">
            <x v="6"/>
          </reference>
          <reference field="6" count="1">
            <x v="8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838">
      <pivotArea dataOnly="0" labelOnly="1" fieldPosition="0">
        <references count="5">
          <reference field="0" count="1" selected="0">
            <x v="2"/>
          </reference>
          <reference field="1" count="1" selected="0">
            <x v="7"/>
          </reference>
          <reference field="6" count="1">
            <x v="6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837">
      <pivotArea dataOnly="0" labelOnly="1" fieldPosition="0">
        <references count="5">
          <reference field="0" count="1" selected="0">
            <x v="11"/>
          </reference>
          <reference field="1" count="1" selected="0">
            <x v="7"/>
          </reference>
          <reference field="6" count="1">
            <x v="6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836">
      <pivotArea dataOnly="0" labelOnly="1" fieldPosition="0">
        <references count="5">
          <reference field="0" count="1" selected="0">
            <x v="7"/>
          </reference>
          <reference field="1" count="1" selected="0">
            <x v="8"/>
          </reference>
          <reference field="6" count="1">
            <x v="0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835">
      <pivotArea dataOnly="0" labelOnly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6" count="1">
            <x v="19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34">
      <pivotArea dataOnly="0" labelOnly="1" fieldPosition="0">
        <references count="5">
          <reference field="0" count="1" selected="0">
            <x v="9"/>
          </reference>
          <reference field="1" count="1" selected="0">
            <x v="1"/>
          </reference>
          <reference field="6" count="1">
            <x v="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33">
      <pivotArea dataOnly="0" labelOnly="1" fieldPosition="0">
        <references count="5">
          <reference field="0" count="1" selected="0">
            <x v="16"/>
          </reference>
          <reference field="1" count="1" selected="0">
            <x v="1"/>
          </reference>
          <reference field="6" count="1">
            <x v="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32">
      <pivotArea dataOnly="0" labelOnly="1" fieldPosition="0">
        <references count="5">
          <reference field="0" count="1" selected="0">
            <x v="13"/>
          </reference>
          <reference field="1" count="1" selected="0">
            <x v="3"/>
          </reference>
          <reference field="6" count="1">
            <x v="4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831">
      <pivotArea dataOnly="0" labelOnly="1" fieldPosition="0">
        <references count="5">
          <reference field="0" count="1" selected="0">
            <x v="0"/>
          </reference>
          <reference field="1" count="1" selected="0">
            <x v="3"/>
          </reference>
          <reference field="6" count="1">
            <x v="2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830">
      <pivotArea dataOnly="0" labelOnly="1" fieldPosition="0">
        <references count="5">
          <reference field="0" count="1" selected="0">
            <x v="12"/>
          </reference>
          <reference field="1" count="1" selected="0">
            <x v="3"/>
          </reference>
          <reference field="6" count="1">
            <x v="3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829">
      <pivotArea dataOnly="0" labelOnly="1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28">
      <pivotArea dataOnly="0" labelOnly="1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27">
      <pivotArea dataOnly="0" labelOnly="1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26">
      <pivotArea dataOnly="0" labelOnly="1" fieldPosition="0">
        <references count="5">
          <reference field="0" count="1" selected="0">
            <x v="15"/>
          </reference>
          <reference field="1" count="1" selected="0">
            <x v="2"/>
          </reference>
          <reference field="6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8" count="1">
            <x v="0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8" count="1">
            <x v="0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8" count="1">
            <x v="2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8" count="1">
            <x v="4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8" count="1">
            <x v="0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8" count="1">
            <x v="0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08">
      <pivotArea dataOnly="0" labelOnly="1" fieldPosition="0">
        <references count="7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807">
      <pivotArea dataOnly="0" labelOnly="1" fieldPosition="0">
        <references count="7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806">
      <pivotArea dataOnly="0" labelOnly="1" fieldPosition="0">
        <references count="7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805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804">
      <pivotArea dataOnly="0" labelOnly="1" fieldPosition="0">
        <references count="7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803">
      <pivotArea dataOnly="0" labelOnly="1" fieldPosition="0">
        <references count="7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802">
      <pivotArea dataOnly="0" labelOnly="1" fieldPosition="0">
        <references count="7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801">
      <pivotArea dataOnly="0" labelOnly="1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800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99">
      <pivotArea dataOnly="0" labelOnly="1" fieldPosition="0">
        <references count="7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98">
      <pivotArea dataOnly="0" labelOnly="1" fieldPosition="0">
        <references count="7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797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796">
      <pivotArea dataOnly="0" labelOnly="1" fieldPosition="0">
        <references count="7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795">
      <pivotArea dataOnly="0" labelOnly="1" fieldPosition="0">
        <references count="7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94">
      <pivotArea dataOnly="0" labelOnly="1" fieldPosition="0">
        <references count="7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93">
      <pivotArea dataOnly="0" labelOnly="1" fieldPosition="0">
        <references count="7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92">
      <pivotArea dataOnly="0" labelOnly="1" fieldPosition="0">
        <references count="7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 selected="0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3" count="1">
            <x v="8"/>
          </reference>
          <reference field="15" count="1" selected="0">
            <x v="27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 selected="0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3" count="1">
            <x v="5"/>
          </reference>
          <reference field="15" count="1" selected="0">
            <x v="277"/>
          </reference>
        </references>
      </pivotArea>
    </format>
    <format dxfId="2789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 selected="0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3" count="1">
            <x v="6"/>
          </reference>
          <reference field="15" count="1" selected="0">
            <x v="308"/>
          </reference>
        </references>
      </pivotArea>
    </format>
    <format dxfId="2788">
      <pivotArea dataOnly="0" labelOnly="1" outline="0" fieldPosition="0">
        <references count="8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3" count="1">
            <x v="11"/>
          </reference>
          <reference field="15" count="1" selected="0">
            <x v="632"/>
          </reference>
        </references>
      </pivotArea>
    </format>
    <format dxfId="2787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0"/>
          </reference>
          <reference field="15" count="1" selected="0">
            <x v="65"/>
          </reference>
        </references>
      </pivotArea>
    </format>
    <format dxfId="2786">
      <pivotArea dataOnly="0" labelOnly="1" outline="0" fieldPosition="0">
        <references count="8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3" count="1">
            <x v="9"/>
          </reference>
          <reference field="15" count="1" selected="0">
            <x v="134"/>
          </reference>
        </references>
      </pivotArea>
    </format>
    <format dxfId="2785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3" count="1">
            <x v="7"/>
          </reference>
          <reference field="15" count="1" selected="0">
            <x v="193"/>
          </reference>
        </references>
      </pivotArea>
    </format>
    <format dxfId="2784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783">
      <pivotArea dataOnly="0" labelOnly="1" outline="0" fieldPosition="0">
        <references count="8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782">
      <pivotArea dataOnly="0" labelOnly="1" outline="0" fieldPosition="0">
        <references count="8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781">
      <pivotArea dataOnly="0" labelOnly="1" outline="0" fieldPosition="0">
        <references count="8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3" count="1">
            <x v="4"/>
          </reference>
          <reference field="15" count="1" selected="0">
            <x v="32"/>
          </reference>
        </references>
      </pivotArea>
    </format>
    <format dxfId="2780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 selected="0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3" count="1">
            <x v="2"/>
          </reference>
          <reference field="15" count="1" selected="0">
            <x v="601"/>
          </reference>
        </references>
      </pivotArea>
    </format>
    <format dxfId="2779">
      <pivotArea dataOnly="0" labelOnly="1" outline="0" fieldPosition="0">
        <references count="8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 selected="0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3" count="1">
            <x v="3"/>
          </reference>
          <reference field="15" count="1" selected="0">
            <x v="638"/>
          </reference>
        </references>
      </pivotArea>
    </format>
    <format dxfId="2778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777">
      <pivotArea dataOnly="0" labelOnly="1" outline="0" fieldPosition="0">
        <references count="8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776">
      <pivotArea dataOnly="0" labelOnly="1" outline="0" fieldPosition="0">
        <references count="8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775">
      <pivotArea dataOnly="0" labelOnly="1" outline="0" fieldPosition="0">
        <references count="8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 selected="0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3" count="1" selected="0">
            <x v="8"/>
          </reference>
          <reference field="14" count="1">
            <x v="7"/>
          </reference>
          <reference field="15" count="1" selected="0">
            <x v="27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 selected="0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3" count="1" selected="0">
            <x v="5"/>
          </reference>
          <reference field="14" count="1">
            <x v="4"/>
          </reference>
          <reference field="15" count="1" selected="0">
            <x v="277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 selected="0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3" count="1" selected="0">
            <x v="6"/>
          </reference>
          <reference field="14" count="1">
            <x v="5"/>
          </reference>
          <reference field="15" count="1" selected="0">
            <x v="308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3" count="1" selected="0">
            <x v="11"/>
          </reference>
          <reference field="14" count="1">
            <x v="10"/>
          </reference>
          <reference field="15" count="1" selected="0">
            <x v="632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0"/>
          </reference>
          <reference field="14" count="1">
            <x v="9"/>
          </reference>
          <reference field="15" count="1" selected="0">
            <x v="65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3" count="1" selected="0">
            <x v="9"/>
          </reference>
          <reference field="14" count="1">
            <x v="8"/>
          </reference>
          <reference field="15" count="1" selected="0">
            <x v="134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3" count="1" selected="0">
            <x v="7"/>
          </reference>
          <reference field="14" count="1">
            <x v="6"/>
          </reference>
          <reference field="15" count="1" selected="0">
            <x v="193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3" count="1" selected="0">
            <x v="4"/>
          </reference>
          <reference field="14" count="1">
            <x v="3"/>
          </reference>
          <reference field="15" count="1" selected="0">
            <x v="32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 selected="0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14" count="1">
            <x v="1"/>
          </reference>
          <reference field="15" count="1" selected="0">
            <x v="601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 selected="0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3" count="1" selected="0">
            <x v="3"/>
          </reference>
          <reference field="14" count="1">
            <x v="2"/>
          </reference>
          <reference field="15" count="1" selected="0">
            <x v="638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757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1"/>
          </reference>
          <reference field="14" count="1" selected="0">
            <x v="10"/>
          </reference>
          <reference field="15" count="1" selected="0">
            <x v="632"/>
          </reference>
        </references>
      </pivotArea>
    </format>
    <format dxfId="2756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7"/>
          </reference>
          <reference field="14" count="1" selected="0">
            <x v="6"/>
          </reference>
          <reference field="15" count="1" selected="0">
            <x v="193"/>
          </reference>
        </references>
      </pivotArea>
    </format>
    <format dxfId="2755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54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53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52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51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50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9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8">
      <pivotArea dataOnly="0" labelOnly="1" outline="0" fieldPosition="0">
        <references count="11">
          <reference field="0" count="1" selected="0">
            <x v="10"/>
          </reference>
          <reference field="1" count="1" selected="0">
            <x v="6"/>
          </reference>
          <reference field="3" count="1">
            <x v="0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1"/>
          </reference>
          <reference field="14" count="1" selected="0">
            <x v="10"/>
          </reference>
          <reference field="15" count="1" selected="0">
            <x v="632"/>
          </reference>
        </references>
      </pivotArea>
    </format>
    <format dxfId="2747">
      <pivotArea dataOnly="0" labelOnly="1" outline="0" fieldPosition="0">
        <references count="11">
          <reference field="0" count="1" selected="0">
            <x v="7"/>
          </reference>
          <reference field="1" count="1" selected="0">
            <x v="8"/>
          </reference>
          <reference field="3" count="1">
            <x v="0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7"/>
          </reference>
          <reference field="14" count="1" selected="0">
            <x v="6"/>
          </reference>
          <reference field="15" count="1" selected="0">
            <x v="193"/>
          </reference>
        </references>
      </pivotArea>
    </format>
    <format dxfId="2746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5">
      <pivotArea dataOnly="0" labelOnly="1" outline="0" fieldPosition="0">
        <references count="11">
          <reference field="0" count="1" selected="0">
            <x v="9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4">
      <pivotArea dataOnly="0" labelOnly="1" outline="0" fieldPosition="0">
        <references count="11">
          <reference field="0" count="1" selected="0">
            <x v="16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3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2">
      <pivotArea dataOnly="0" labelOnly="1" outline="0" fieldPosition="0">
        <references count="11">
          <reference field="0" count="1" selected="0">
            <x v="5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1">
      <pivotArea dataOnly="0" labelOnly="1" outline="0" fieldPosition="0">
        <references count="11">
          <reference field="0" count="1" selected="0">
            <x v="14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40">
      <pivotArea dataOnly="0" labelOnly="1" outline="0" fieldPosition="0">
        <references count="11">
          <reference field="0" count="1" selected="0">
            <x v="15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739">
      <pivotArea type="all" dataOnly="0" outline="0" fieldPosition="0"/>
    </format>
    <format dxfId="2738">
      <pivotArea field="1" type="button" dataOnly="0" labelOnly="1" outline="0" axis="axisRow" fieldPosition="0"/>
    </format>
    <format dxfId="2737">
      <pivotArea field="15" type="button" dataOnly="0" labelOnly="1" outline="0" axis="axisRow" fieldPosition="1"/>
    </format>
    <format dxfId="2736">
      <pivotArea field="12" type="button" dataOnly="0" labelOnly="1" outline="0" axis="axisRow" fieldPosition="2"/>
    </format>
    <format dxfId="2735">
      <pivotArea field="0" type="button" dataOnly="0" labelOnly="1" outline="0" axis="axisRow" fieldPosition="3"/>
    </format>
    <format dxfId="2734">
      <pivotArea field="6" type="button" dataOnly="0" labelOnly="1" outline="0" axis="axisRow" fieldPosition="4"/>
    </format>
    <format dxfId="2733">
      <pivotArea field="7" type="button" dataOnly="0" labelOnly="1" outline="0" axis="axisRow" fieldPosition="6"/>
    </format>
    <format dxfId="2732">
      <pivotArea field="13" type="button" dataOnly="0" labelOnly="1" outline="0" axis="axisRow" fieldPosition="7"/>
    </format>
    <format dxfId="2731">
      <pivotArea field="14" type="button" dataOnly="0" labelOnly="1" outline="0" axis="axisRow" fieldPosition="8"/>
    </format>
    <format dxfId="2730">
      <pivotArea field="11" type="button" dataOnly="0" labelOnly="1" outline="0" axis="axisRow" fieldPosition="10"/>
    </format>
    <format dxfId="2729">
      <pivotArea field="3" type="button" dataOnly="0" labelOnly="1" outline="0" axis="axisRow" fieldPosition="11"/>
    </format>
    <format dxfId="2728">
      <pivotArea dataOnly="0" labelOnly="1" outline="0" fieldPosition="0">
        <references count="1">
          <reference field="1" count="0"/>
        </references>
      </pivotArea>
    </format>
    <format dxfId="2727">
      <pivotArea dataOnly="0" labelOnly="1" outline="0" fieldPosition="0">
        <references count="2">
          <reference field="1" count="1" selected="0">
            <x v="6"/>
          </reference>
          <reference field="15" count="4">
            <x v="27"/>
            <x v="277"/>
            <x v="308"/>
            <x v="632"/>
          </reference>
        </references>
      </pivotArea>
    </format>
    <format dxfId="2726">
      <pivotArea dataOnly="0" labelOnly="1" outline="0" fieldPosition="0">
        <references count="2">
          <reference field="1" count="1" selected="0">
            <x v="7"/>
          </reference>
          <reference field="15" count="2">
            <x v="65"/>
            <x v="134"/>
          </reference>
        </references>
      </pivotArea>
    </format>
    <format dxfId="2725">
      <pivotArea dataOnly="0" labelOnly="1" outline="0" fieldPosition="0">
        <references count="2">
          <reference field="1" count="1" selected="0">
            <x v="8"/>
          </reference>
          <reference field="15" count="1">
            <x v="193"/>
          </reference>
        </references>
      </pivotArea>
    </format>
    <format dxfId="2724">
      <pivotArea dataOnly="0" labelOnly="1" outline="0" fieldPosition="0">
        <references count="2">
          <reference field="1" count="1" selected="0">
            <x v="1"/>
          </reference>
          <reference field="15" count="1">
            <x v="0"/>
          </reference>
        </references>
      </pivotArea>
    </format>
    <format dxfId="2723">
      <pivotArea dataOnly="0" labelOnly="1" outline="0" fieldPosition="0">
        <references count="2">
          <reference field="1" count="1" selected="0">
            <x v="3"/>
          </reference>
          <reference field="15" count="3">
            <x v="32"/>
            <x v="601"/>
            <x v="638"/>
          </reference>
        </references>
      </pivotArea>
    </format>
    <format dxfId="2722">
      <pivotArea dataOnly="0" labelOnly="1" outline="0" fieldPosition="0">
        <references count="2">
          <reference field="1" count="1" selected="0">
            <x v="2"/>
          </reference>
          <reference field="15" count="1">
            <x v="0"/>
          </reference>
        </references>
      </pivotArea>
    </format>
    <format dxfId="2721">
      <pivotArea dataOnly="0" labelOnly="1" outline="0" fieldPosition="0">
        <references count="3">
          <reference field="1" count="1" selected="0">
            <x v="6"/>
          </reference>
          <reference field="12" count="1">
            <x v="6"/>
          </reference>
          <reference field="15" count="1" selected="0">
            <x v="27"/>
          </reference>
        </references>
      </pivotArea>
    </format>
    <format dxfId="2720">
      <pivotArea dataOnly="0" labelOnly="1" outline="0" fieldPosition="0">
        <references count="3">
          <reference field="1" count="1" selected="0">
            <x v="6"/>
          </reference>
          <reference field="12" count="1">
            <x v="4"/>
          </reference>
          <reference field="15" count="1" selected="0">
            <x v="277"/>
          </reference>
        </references>
      </pivotArea>
    </format>
    <format dxfId="2719">
      <pivotArea dataOnly="0" labelOnly="1" outline="0" fieldPosition="0">
        <references count="3">
          <reference field="1" count="1" selected="0">
            <x v="6"/>
          </reference>
          <reference field="12" count="1">
            <x v="5"/>
          </reference>
          <reference field="15" count="1" selected="0">
            <x v="308"/>
          </reference>
        </references>
      </pivotArea>
    </format>
    <format dxfId="2718">
      <pivotArea dataOnly="0" labelOnly="1" outline="0" fieldPosition="0">
        <references count="3">
          <reference field="1" count="1" selected="0">
            <x v="6"/>
          </reference>
          <reference field="12" count="1">
            <x v="0"/>
          </reference>
          <reference field="15" count="1" selected="0">
            <x v="632"/>
          </reference>
        </references>
      </pivotArea>
    </format>
    <format dxfId="2717">
      <pivotArea dataOnly="0" labelOnly="1" outline="0" fieldPosition="0">
        <references count="3">
          <reference field="1" count="1" selected="0">
            <x v="7"/>
          </reference>
          <reference field="12" count="1">
            <x v="0"/>
          </reference>
          <reference field="15" count="1" selected="0">
            <x v="65"/>
          </reference>
        </references>
      </pivotArea>
    </format>
    <format dxfId="2716">
      <pivotArea dataOnly="0" labelOnly="1" outline="0" fieldPosition="0">
        <references count="3">
          <reference field="1" count="1" selected="0">
            <x v="7"/>
          </reference>
          <reference field="12" count="1">
            <x v="7"/>
          </reference>
          <reference field="15" count="1" selected="0">
            <x v="134"/>
          </reference>
        </references>
      </pivotArea>
    </format>
    <format dxfId="2715">
      <pivotArea dataOnly="0" labelOnly="1" outline="0" fieldPosition="0">
        <references count="3">
          <reference field="1" count="1" selected="0">
            <x v="8"/>
          </reference>
          <reference field="12" count="1">
            <x v="0"/>
          </reference>
          <reference field="15" count="1" selected="0">
            <x v="193"/>
          </reference>
        </references>
      </pivotArea>
    </format>
    <format dxfId="2714">
      <pivotArea dataOnly="0" labelOnly="1" outline="0" fieldPosition="0">
        <references count="3">
          <reference field="1" count="1" selected="0">
            <x v="1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713">
      <pivotArea dataOnly="0" labelOnly="1" outline="0" fieldPosition="0">
        <references count="3">
          <reference field="1" count="1" selected="0">
            <x v="3"/>
          </reference>
          <reference field="12" count="1">
            <x v="3"/>
          </reference>
          <reference field="15" count="1" selected="0">
            <x v="32"/>
          </reference>
        </references>
      </pivotArea>
    </format>
    <format dxfId="2712">
      <pivotArea dataOnly="0" labelOnly="1" outline="0" fieldPosition="0">
        <references count="3">
          <reference field="1" count="1" selected="0">
            <x v="3"/>
          </reference>
          <reference field="12" count="1">
            <x v="1"/>
          </reference>
          <reference field="15" count="1" selected="0">
            <x v="601"/>
          </reference>
        </references>
      </pivotArea>
    </format>
    <format dxfId="2711">
      <pivotArea dataOnly="0" labelOnly="1" outline="0" fieldPosition="0">
        <references count="3">
          <reference field="1" count="1" selected="0">
            <x v="3"/>
          </reference>
          <reference field="12" count="1">
            <x v="2"/>
          </reference>
          <reference field="15" count="1" selected="0">
            <x v="638"/>
          </reference>
        </references>
      </pivotArea>
    </format>
    <format dxfId="2710">
      <pivotArea dataOnly="0" labelOnly="1" outline="0" fieldPosition="0">
        <references count="3">
          <reference field="1" count="1" selected="0">
            <x v="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709">
      <pivotArea dataOnly="0" labelOnly="1" outline="0" fieldPosition="0">
        <references count="4">
          <reference field="0" count="1">
            <x v="6"/>
          </reference>
          <reference field="1" count="1" selected="0">
            <x v="6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708">
      <pivotArea dataOnly="0" labelOnly="1" outline="0" fieldPosition="0">
        <references count="4">
          <reference field="0" count="1">
            <x v="8"/>
          </reference>
          <reference field="1" count="1" selected="0">
            <x v="6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707">
      <pivotArea dataOnly="0" labelOnly="1" outline="0" fieldPosition="0">
        <references count="4">
          <reference field="0" count="1">
            <x v="3"/>
          </reference>
          <reference field="1" count="1" selected="0">
            <x v="6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706">
      <pivotArea dataOnly="0" labelOnly="1" outline="0" fieldPosition="0">
        <references count="4">
          <reference field="0" count="1">
            <x v="10"/>
          </reference>
          <reference field="1" count="1" selected="0">
            <x v="6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705">
      <pivotArea dataOnly="0" labelOnly="1" outline="0" fieldPosition="0">
        <references count="4">
          <reference field="0" count="1">
            <x v="2"/>
          </reference>
          <reference field="1" count="1" selected="0">
            <x v="7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704">
      <pivotArea dataOnly="0" labelOnly="1" outline="0" fieldPosition="0">
        <references count="4">
          <reference field="0" count="1">
            <x v="11"/>
          </reference>
          <reference field="1" count="1" selected="0">
            <x v="7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703">
      <pivotArea dataOnly="0" labelOnly="1" outline="0" fieldPosition="0">
        <references count="4">
          <reference field="0" count="1">
            <x v="7"/>
          </reference>
          <reference field="1" count="1" selected="0">
            <x v="8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702">
      <pivotArea dataOnly="0" labelOnly="1" outline="0" fieldPosition="0">
        <references count="4">
          <reference field="0" count="3">
            <x v="1"/>
            <x v="9"/>
            <x v="16"/>
          </reference>
          <reference field="1" count="1" selected="0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701">
      <pivotArea dataOnly="0" labelOnly="1" outline="0" fieldPosition="0">
        <references count="4">
          <reference field="0" count="1">
            <x v="13"/>
          </reference>
          <reference field="1" count="1" selected="0">
            <x v="3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700">
      <pivotArea dataOnly="0" labelOnly="1" outline="0" fieldPosition="0">
        <references count="4">
          <reference field="0" count="1">
            <x v="0"/>
          </reference>
          <reference field="1" count="1" selected="0">
            <x v="3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699">
      <pivotArea dataOnly="0" labelOnly="1" outline="0" fieldPosition="0">
        <references count="4">
          <reference field="0" count="1">
            <x v="12"/>
          </reference>
          <reference field="1" count="1" selected="0">
            <x v="3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698">
      <pivotArea dataOnly="0" labelOnly="1" outline="0" fieldPosition="0">
        <references count="4">
          <reference field="0" count="4">
            <x v="4"/>
            <x v="5"/>
            <x v="14"/>
            <x v="15"/>
          </reference>
          <reference field="1" count="1" selected="0">
            <x v="2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97">
      <pivotArea dataOnly="0" labelOnly="1" fieldPosition="0">
        <references count="5">
          <reference field="0" count="1" selected="0">
            <x v="6"/>
          </reference>
          <reference field="1" count="1" selected="0">
            <x v="6"/>
          </reference>
          <reference field="6" count="1">
            <x v="7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696">
      <pivotArea dataOnly="0" labelOnly="1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6" count="1">
            <x v="5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695">
      <pivotArea dataOnly="0" labelOnly="1" fieldPosition="0">
        <references count="5">
          <reference field="0" count="1" selected="0">
            <x v="3"/>
          </reference>
          <reference field="1" count="1" selected="0">
            <x v="6"/>
          </reference>
          <reference field="6" count="1">
            <x v="6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694">
      <pivotArea dataOnly="0" labelOnly="1" fieldPosition="0">
        <references count="5">
          <reference field="0" count="1" selected="0">
            <x v="10"/>
          </reference>
          <reference field="1" count="1" selected="0">
            <x v="6"/>
          </reference>
          <reference field="6" count="1">
            <x v="8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693">
      <pivotArea dataOnly="0" labelOnly="1" fieldPosition="0">
        <references count="5">
          <reference field="0" count="1" selected="0">
            <x v="2"/>
          </reference>
          <reference field="1" count="1" selected="0">
            <x v="7"/>
          </reference>
          <reference field="6" count="1">
            <x v="6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692">
      <pivotArea dataOnly="0" labelOnly="1" fieldPosition="0">
        <references count="5">
          <reference field="0" count="1" selected="0">
            <x v="11"/>
          </reference>
          <reference field="1" count="1" selected="0">
            <x v="7"/>
          </reference>
          <reference field="6" count="1">
            <x v="6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691">
      <pivotArea dataOnly="0" labelOnly="1" fieldPosition="0">
        <references count="5">
          <reference field="0" count="1" selected="0">
            <x v="7"/>
          </reference>
          <reference field="1" count="1" selected="0">
            <x v="8"/>
          </reference>
          <reference field="6" count="1">
            <x v="0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690">
      <pivotArea dataOnly="0" labelOnly="1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6" count="1">
            <x v="19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9">
      <pivotArea dataOnly="0" labelOnly="1" fieldPosition="0">
        <references count="5">
          <reference field="0" count="1" selected="0">
            <x v="9"/>
          </reference>
          <reference field="1" count="1" selected="0">
            <x v="1"/>
          </reference>
          <reference field="6" count="1">
            <x v="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8">
      <pivotArea dataOnly="0" labelOnly="1" fieldPosition="0">
        <references count="5">
          <reference field="0" count="1" selected="0">
            <x v="16"/>
          </reference>
          <reference field="1" count="1" selected="0">
            <x v="1"/>
          </reference>
          <reference field="6" count="1">
            <x v="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7">
      <pivotArea dataOnly="0" labelOnly="1" fieldPosition="0">
        <references count="5">
          <reference field="0" count="1" selected="0">
            <x v="13"/>
          </reference>
          <reference field="1" count="1" selected="0">
            <x v="3"/>
          </reference>
          <reference field="6" count="1">
            <x v="4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686">
      <pivotArea dataOnly="0" labelOnly="1" fieldPosition="0">
        <references count="5">
          <reference field="0" count="1" selected="0">
            <x v="0"/>
          </reference>
          <reference field="1" count="1" selected="0">
            <x v="3"/>
          </reference>
          <reference field="6" count="1">
            <x v="2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685">
      <pivotArea dataOnly="0" labelOnly="1" fieldPosition="0">
        <references count="5">
          <reference field="0" count="1" selected="0">
            <x v="12"/>
          </reference>
          <reference field="1" count="1" selected="0">
            <x v="3"/>
          </reference>
          <reference field="6" count="1">
            <x v="3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684">
      <pivotArea dataOnly="0" labelOnly="1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3">
      <pivotArea dataOnly="0" labelOnly="1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2">
      <pivotArea dataOnly="0" labelOnly="1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6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1">
      <pivotArea dataOnly="0" labelOnly="1" fieldPosition="0">
        <references count="5">
          <reference field="0" count="1" selected="0">
            <x v="15"/>
          </reference>
          <reference field="1" count="1" selected="0">
            <x v="2"/>
          </reference>
          <reference field="6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80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8" count="1">
            <x v="0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8" count="1">
            <x v="0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8" count="1">
            <x v="0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674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8" count="1">
            <x v="2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673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8" count="1">
            <x v="4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72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71">
      <pivotArea dataOnly="0" labelOnly="1" outline="0" fieldPosition="0">
        <references count="6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70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8" count="1">
            <x v="0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66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8" count="1">
            <x v="0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667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66">
      <pivotArea dataOnly="0" labelOnly="1" outline="0" fieldPosition="0">
        <references count="6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8" count="1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8" count="1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63">
      <pivotArea dataOnly="0" labelOnly="1" fieldPosition="0">
        <references count="7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5" count="1" selected="0">
            <x v="27"/>
          </reference>
        </references>
      </pivotArea>
    </format>
    <format dxfId="2662">
      <pivotArea dataOnly="0" labelOnly="1" fieldPosition="0">
        <references count="7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5" count="1" selected="0">
            <x v="277"/>
          </reference>
        </references>
      </pivotArea>
    </format>
    <format dxfId="2661">
      <pivotArea dataOnly="0" labelOnly="1" fieldPosition="0">
        <references count="7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5" count="1" selected="0">
            <x v="308"/>
          </reference>
        </references>
      </pivotArea>
    </format>
    <format dxfId="2660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659">
      <pivotArea dataOnly="0" labelOnly="1" fieldPosition="0">
        <references count="7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65"/>
          </reference>
        </references>
      </pivotArea>
    </format>
    <format dxfId="2658">
      <pivotArea dataOnly="0" labelOnly="1" fieldPosition="0">
        <references count="7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5" count="1" selected="0">
            <x v="134"/>
          </reference>
        </references>
      </pivotArea>
    </format>
    <format dxfId="2657">
      <pivotArea dataOnly="0" labelOnly="1" fieldPosition="0">
        <references count="7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5" count="1" selected="0">
            <x v="193"/>
          </reference>
        </references>
      </pivotArea>
    </format>
    <format dxfId="2656">
      <pivotArea dataOnly="0" labelOnly="1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5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54">
      <pivotArea dataOnly="0" labelOnly="1" fieldPosition="0">
        <references count="7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53">
      <pivotArea dataOnly="0" labelOnly="1" fieldPosition="0">
        <references count="7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5" count="1" selected="0">
            <x v="32"/>
          </reference>
        </references>
      </pivotArea>
    </format>
    <format dxfId="2652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5" count="1" selected="0">
            <x v="601"/>
          </reference>
        </references>
      </pivotArea>
    </format>
    <format dxfId="2651">
      <pivotArea dataOnly="0" labelOnly="1" fieldPosition="0">
        <references count="7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5" count="1" selected="0">
            <x v="638"/>
          </reference>
        </references>
      </pivotArea>
    </format>
    <format dxfId="2650">
      <pivotArea dataOnly="0" labelOnly="1" fieldPosition="0">
        <references count="7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49">
      <pivotArea dataOnly="0" labelOnly="1" fieldPosition="0">
        <references count="7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48">
      <pivotArea dataOnly="0" labelOnly="1" fieldPosition="0">
        <references count="7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47">
      <pivotArea dataOnly="0" labelOnly="1" fieldPosition="0">
        <references count="7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646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 selected="0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3" count="1">
            <x v="8"/>
          </reference>
          <reference field="15" count="1" selected="0">
            <x v="27"/>
          </reference>
        </references>
      </pivotArea>
    </format>
    <format dxfId="2645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 selected="0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3" count="1">
            <x v="5"/>
          </reference>
          <reference field="15" count="1" selected="0">
            <x v="277"/>
          </reference>
        </references>
      </pivotArea>
    </format>
    <format dxfId="2644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 selected="0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3" count="1">
            <x v="6"/>
          </reference>
          <reference field="15" count="1" selected="0">
            <x v="308"/>
          </reference>
        </references>
      </pivotArea>
    </format>
    <format dxfId="2643">
      <pivotArea dataOnly="0" labelOnly="1" outline="0" fieldPosition="0">
        <references count="8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3" count="1">
            <x v="11"/>
          </reference>
          <reference field="15" count="1" selected="0">
            <x v="632"/>
          </reference>
        </references>
      </pivotArea>
    </format>
    <format dxfId="2642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0"/>
          </reference>
          <reference field="15" count="1" selected="0">
            <x v="65"/>
          </reference>
        </references>
      </pivotArea>
    </format>
    <format dxfId="2641">
      <pivotArea dataOnly="0" labelOnly="1" outline="0" fieldPosition="0">
        <references count="8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3" count="1">
            <x v="9"/>
          </reference>
          <reference field="15" count="1" selected="0">
            <x v="134"/>
          </reference>
        </references>
      </pivotArea>
    </format>
    <format dxfId="2640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3" count="1">
            <x v="7"/>
          </reference>
          <reference field="15" count="1" selected="0">
            <x v="193"/>
          </reference>
        </references>
      </pivotArea>
    </format>
    <format dxfId="2639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638">
      <pivotArea dataOnly="0" labelOnly="1" outline="0" fieldPosition="0">
        <references count="8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637">
      <pivotArea dataOnly="0" labelOnly="1" outline="0" fieldPosition="0">
        <references count="8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636">
      <pivotArea dataOnly="0" labelOnly="1" outline="0" fieldPosition="0">
        <references count="8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3" count="1">
            <x v="4"/>
          </reference>
          <reference field="15" count="1" selected="0">
            <x v="32"/>
          </reference>
        </references>
      </pivotArea>
    </format>
    <format dxfId="263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 selected="0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3" count="1">
            <x v="2"/>
          </reference>
          <reference field="15" count="1" selected="0">
            <x v="601"/>
          </reference>
        </references>
      </pivotArea>
    </format>
    <format dxfId="2634">
      <pivotArea dataOnly="0" labelOnly="1" outline="0" fieldPosition="0">
        <references count="8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 selected="0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3" count="1">
            <x v="3"/>
          </reference>
          <reference field="15" count="1" selected="0">
            <x v="638"/>
          </reference>
        </references>
      </pivotArea>
    </format>
    <format dxfId="2633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632">
      <pivotArea dataOnly="0" labelOnly="1" outline="0" fieldPosition="0">
        <references count="8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631">
      <pivotArea dataOnly="0" labelOnly="1" outline="0" fieldPosition="0">
        <references count="8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3" count="1">
            <x v="0"/>
          </reference>
          <reference field="15" count="1" selected="0">
            <x v="0"/>
          </reference>
        </references>
      </pivotArea>
    </format>
    <format dxfId="2630">
      <pivotArea dataOnly="0" labelOnly="1" outline="0" fieldPosition="0">
        <references count="8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>
            <x v="1"/>
          </reference>
          <reference field="15" count="1" selected="0">
            <x v="0"/>
          </reference>
        </references>
      </pivotArea>
    </format>
    <format dxfId="2629">
      <pivotArea dataOnly="0" labelOnly="1" outline="0" fieldPosition="0">
        <references count="9">
          <reference field="0" count="1" selected="0">
            <x v="6"/>
          </reference>
          <reference field="1" count="1" selected="0">
            <x v="6"/>
          </reference>
          <reference field="6" count="1" selected="0">
            <x v="7"/>
          </reference>
          <reference field="7" count="1" selected="0">
            <x v="16"/>
          </reference>
          <reference field="8" count="1" selected="0">
            <x v="0"/>
          </reference>
          <reference field="12" count="1" selected="0">
            <x v="6"/>
          </reference>
          <reference field="13" count="1" selected="0">
            <x v="8"/>
          </reference>
          <reference field="14" count="1">
            <x v="7"/>
          </reference>
          <reference field="15" count="1" selected="0">
            <x v="27"/>
          </reference>
        </references>
      </pivotArea>
    </format>
    <format dxfId="2628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7" count="1" selected="0">
            <x v="15"/>
          </reference>
          <reference field="8" count="1" selected="0">
            <x v="0"/>
          </reference>
          <reference field="12" count="1" selected="0">
            <x v="4"/>
          </reference>
          <reference field="13" count="1" selected="0">
            <x v="5"/>
          </reference>
          <reference field="14" count="1">
            <x v="4"/>
          </reference>
          <reference field="15" count="1" selected="0">
            <x v="277"/>
          </reference>
        </references>
      </pivotArea>
    </format>
    <format dxfId="2627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6"/>
          </reference>
          <reference field="6" count="1" selected="0">
            <x v="6"/>
          </reference>
          <reference field="7" count="1" selected="0">
            <x v="5"/>
          </reference>
          <reference field="8" count="1" selected="0">
            <x v="0"/>
          </reference>
          <reference field="12" count="1" selected="0">
            <x v="5"/>
          </reference>
          <reference field="13" count="1" selected="0">
            <x v="6"/>
          </reference>
          <reference field="14" count="1">
            <x v="5"/>
          </reference>
          <reference field="15" count="1" selected="0">
            <x v="308"/>
          </reference>
        </references>
      </pivotArea>
    </format>
    <format dxfId="2626">
      <pivotArea dataOnly="0" labelOnly="1" outline="0" fieldPosition="0">
        <references count="9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2" count="1" selected="0">
            <x v="0"/>
          </reference>
          <reference field="13" count="1" selected="0">
            <x v="11"/>
          </reference>
          <reference field="14" count="1">
            <x v="10"/>
          </reference>
          <reference field="15" count="1" selected="0">
            <x v="632"/>
          </reference>
        </references>
      </pivotArea>
    </format>
    <format dxfId="2625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9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0"/>
          </reference>
          <reference field="14" count="1">
            <x v="9"/>
          </reference>
          <reference field="15" count="1" selected="0">
            <x v="65"/>
          </reference>
        </references>
      </pivotArea>
    </format>
    <format dxfId="2624">
      <pivotArea dataOnly="0" labelOnly="1" outline="0" fieldPosition="0">
        <references count="9">
          <reference field="0" count="1" selected="0">
            <x v="11"/>
          </reference>
          <reference field="1" count="1" selected="0">
            <x v="7"/>
          </reference>
          <reference field="6" count="1" selected="0">
            <x v="6"/>
          </reference>
          <reference field="7" count="1" selected="0">
            <x v="8"/>
          </reference>
          <reference field="8" count="1" selected="0">
            <x v="0"/>
          </reference>
          <reference field="12" count="1" selected="0">
            <x v="7"/>
          </reference>
          <reference field="13" count="1" selected="0">
            <x v="9"/>
          </reference>
          <reference field="14" count="1">
            <x v="8"/>
          </reference>
          <reference field="15" count="1" selected="0">
            <x v="134"/>
          </reference>
        </references>
      </pivotArea>
    </format>
    <format dxfId="2623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2" count="1" selected="0">
            <x v="0"/>
          </reference>
          <reference field="13" count="1" selected="0">
            <x v="7"/>
          </reference>
          <reference field="14" count="1">
            <x v="6"/>
          </reference>
          <reference field="15" count="1" selected="0">
            <x v="193"/>
          </reference>
        </references>
      </pivotArea>
    </format>
    <format dxfId="2622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21">
      <pivotArea dataOnly="0" labelOnly="1" outline="0" fieldPosition="0">
        <references count="9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20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19">
      <pivotArea dataOnly="0" labelOnly="1" outline="0" fieldPosition="0">
        <references count="9">
          <reference field="0" count="1" selected="0">
            <x v="13"/>
          </reference>
          <reference field="1" count="1" selected="0">
            <x v="3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0"/>
          </reference>
          <reference field="12" count="1" selected="0">
            <x v="3"/>
          </reference>
          <reference field="13" count="1" selected="0">
            <x v="4"/>
          </reference>
          <reference field="14" count="1">
            <x v="3"/>
          </reference>
          <reference field="15" count="1" selected="0">
            <x v="32"/>
          </reference>
        </references>
      </pivotArea>
    </format>
    <format dxfId="2618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3"/>
          </reference>
          <reference field="6" count="1" selected="0">
            <x v="2"/>
          </reference>
          <reference field="7" count="1" selected="0">
            <x v="12"/>
          </reference>
          <reference field="8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14" count="1">
            <x v="1"/>
          </reference>
          <reference field="15" count="1" selected="0">
            <x v="601"/>
          </reference>
        </references>
      </pivotArea>
    </format>
    <format dxfId="2617">
      <pivotArea dataOnly="0" labelOnly="1" outline="0" fieldPosition="0">
        <references count="9">
          <reference field="0" count="1" selected="0">
            <x v="12"/>
          </reference>
          <reference field="1" count="1" selected="0">
            <x v="3"/>
          </reference>
          <reference field="6" count="1" selected="0">
            <x v="3"/>
          </reference>
          <reference field="7" count="1" selected="0">
            <x v="13"/>
          </reference>
          <reference field="8" count="1" selected="0">
            <x v="0"/>
          </reference>
          <reference field="12" count="1" selected="0">
            <x v="2"/>
          </reference>
          <reference field="13" count="1" selected="0">
            <x v="3"/>
          </reference>
          <reference field="14" count="1">
            <x v="2"/>
          </reference>
          <reference field="15" count="1" selected="0">
            <x v="638"/>
          </reference>
        </references>
      </pivotArea>
    </format>
    <format dxfId="2616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15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14">
      <pivotArea dataOnly="0" labelOnly="1" outline="0" fieldPosition="0">
        <references count="9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13">
      <pivotArea dataOnly="0" labelOnly="1" outline="0" fieldPosition="0">
        <references count="9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612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1"/>
          </reference>
          <reference field="14" count="1" selected="0">
            <x v="10"/>
          </reference>
          <reference field="15" count="1" selected="0">
            <x v="632"/>
          </reference>
        </references>
      </pivotArea>
    </format>
    <format dxfId="2611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7"/>
          </reference>
          <reference field="14" count="1" selected="0">
            <x v="6"/>
          </reference>
          <reference field="15" count="1" selected="0">
            <x v="193"/>
          </reference>
        </references>
      </pivotArea>
    </format>
    <format dxfId="2610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9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8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1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7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6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5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2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4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1" count="1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3">
      <pivotArea dataOnly="0" labelOnly="1" outline="0" fieldPosition="0">
        <references count="11">
          <reference field="0" count="1" selected="0">
            <x v="10"/>
          </reference>
          <reference field="1" count="1" selected="0">
            <x v="6"/>
          </reference>
          <reference field="3" count="1">
            <x v="0"/>
          </reference>
          <reference field="6" count="1" selected="0">
            <x v="8"/>
          </reference>
          <reference field="7" count="1" selected="0">
            <x v="10"/>
          </reference>
          <reference field="8" count="1" selected="0">
            <x v="3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1"/>
          </reference>
          <reference field="14" count="1" selected="0">
            <x v="10"/>
          </reference>
          <reference field="15" count="1" selected="0">
            <x v="632"/>
          </reference>
        </references>
      </pivotArea>
    </format>
    <format dxfId="2602">
      <pivotArea dataOnly="0" labelOnly="1" outline="0" fieldPosition="0">
        <references count="11">
          <reference field="0" count="1" selected="0">
            <x v="7"/>
          </reference>
          <reference field="1" count="1" selected="0">
            <x v="8"/>
          </reference>
          <reference field="3" count="1">
            <x v="0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7"/>
          </reference>
          <reference field="14" count="1" selected="0">
            <x v="6"/>
          </reference>
          <reference field="15" count="1" selected="0">
            <x v="193"/>
          </reference>
        </references>
      </pivotArea>
    </format>
    <format dxfId="2601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190"/>
          </reference>
          <reference field="7" count="1" selected="0">
            <x v="0"/>
          </reference>
          <reference field="8" count="1" selected="0">
            <x v="4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600">
      <pivotArea dataOnly="0" labelOnly="1" outline="0" fieldPosition="0">
        <references count="11">
          <reference field="0" count="1" selected="0">
            <x v="9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599">
      <pivotArea dataOnly="0" labelOnly="1" outline="0" fieldPosition="0">
        <references count="11">
          <reference field="0" count="1" selected="0">
            <x v="16"/>
          </reference>
          <reference field="1" count="1" selected="0">
            <x v="1"/>
          </reference>
          <reference field="3" count="1">
            <x v="0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598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597">
      <pivotArea dataOnly="0" labelOnly="1" outline="0" fieldPosition="0">
        <references count="11">
          <reference field="0" count="1" selected="0">
            <x v="5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596">
      <pivotArea dataOnly="0" labelOnly="1" outline="0" fieldPosition="0">
        <references count="11">
          <reference field="0" count="1" selected="0">
            <x v="14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595">
      <pivotArea dataOnly="0" labelOnly="1" outline="0" fieldPosition="0">
        <references count="11">
          <reference field="0" count="1" selected="0">
            <x v="15"/>
          </reference>
          <reference field="1" count="1" selected="0">
            <x v="2"/>
          </reference>
          <reference field="3" count="1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11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4" count="1" selected="0">
            <x v="6"/>
          </reference>
          <reference field="15" count="1" selected="0">
            <x v="0"/>
          </reference>
        </references>
      </pivotArea>
    </format>
    <format dxfId="2594">
      <pivotArea field="1" type="button" dataOnly="0" labelOnly="1" outline="0" axis="axisRow" fieldPosition="0"/>
    </format>
    <format dxfId="2593">
      <pivotArea field="15" type="button" dataOnly="0" labelOnly="1" outline="0" axis="axisRow" fieldPosition="1"/>
    </format>
    <format dxfId="2592">
      <pivotArea field="12" type="button" dataOnly="0" labelOnly="1" outline="0" axis="axisRow" fieldPosition="2"/>
    </format>
    <format dxfId="2591">
      <pivotArea field="0" type="button" dataOnly="0" labelOnly="1" outline="0" axis="axisRow" fieldPosition="3"/>
    </format>
    <format dxfId="2590">
      <pivotArea field="6" type="button" dataOnly="0" labelOnly="1" outline="0" axis="axisRow" fieldPosition="4"/>
    </format>
    <format dxfId="2589">
      <pivotArea field="7" type="button" dataOnly="0" labelOnly="1" outline="0" axis="axisRow" fieldPosition="6"/>
    </format>
    <format dxfId="2588">
      <pivotArea field="13" type="button" dataOnly="0" labelOnly="1" outline="0" axis="axisRow" fieldPosition="7"/>
    </format>
    <format dxfId="2587">
      <pivotArea field="14" type="button" dataOnly="0" labelOnly="1" outline="0" axis="axisRow" fieldPosition="8"/>
    </format>
    <format dxfId="2586">
      <pivotArea field="11" type="button" dataOnly="0" labelOnly="1" outline="0" axis="axisRow" fieldPosition="10"/>
    </format>
    <format dxfId="2585">
      <pivotArea field="3" type="button" dataOnly="0" labelOnly="1" outline="0" axis="axisRow" fieldPosition="11"/>
    </format>
    <format dxfId="2584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6"/>
          </reference>
          <reference field="12" count="1" selected="0">
            <x v="11"/>
          </reference>
          <reference field="15" count="1" selected="0">
            <x v="0"/>
          </reference>
        </references>
      </pivotArea>
    </format>
    <format dxfId="2583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6"/>
          </reference>
          <reference field="12" count="1" selected="0">
            <x v="11"/>
          </reference>
          <reference field="15" count="1" selected="0">
            <x v="0"/>
          </reference>
        </references>
      </pivotArea>
    </format>
    <format dxfId="2582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6"/>
          </reference>
          <reference field="12" count="1" selected="0">
            <x v="11"/>
          </reference>
          <reference field="15" count="1" selected="0">
            <x v="0"/>
          </reference>
        </references>
      </pivotArea>
    </format>
    <format dxfId="2581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6"/>
          </reference>
          <reference field="12" count="1" selected="0">
            <x v="11"/>
          </reference>
          <reference field="15" count="1" selected="0">
            <x v="0"/>
          </reference>
        </references>
      </pivotArea>
    </format>
    <format dxfId="2580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8"/>
          </reference>
          <reference field="12" count="1" selected="0">
            <x v="14"/>
          </reference>
          <reference field="15" count="1" selected="0">
            <x v="224"/>
          </reference>
        </references>
      </pivotArea>
    </format>
    <format dxfId="2579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3"/>
          </reference>
          <reference field="12" count="1" selected="0">
            <x v="30"/>
          </reference>
          <reference field="15" count="1" selected="0">
            <x v="389"/>
          </reference>
        </references>
      </pivotArea>
    </format>
    <format dxfId="2578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3"/>
          </reference>
          <reference field="12" count="1" selected="0">
            <x v="30"/>
          </reference>
          <reference field="15" count="1" selected="0">
            <x v="388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3"/>
          </reference>
          <reference field="12" count="1" selected="0">
            <x v="30"/>
          </reference>
          <reference field="15" count="1" selected="0">
            <x v="296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3"/>
          </reference>
          <reference field="12" count="1" selected="0">
            <x v="74"/>
          </reference>
          <reference field="15" count="1" selected="0">
            <x v="253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32"/>
          </reference>
          <reference field="12" count="1" selected="0">
            <x v="80"/>
          </reference>
          <reference field="15" count="1" selected="0">
            <x v="596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8"/>
          </reference>
          <reference field="12" count="1" selected="0">
            <x v="101"/>
          </reference>
          <reference field="15" count="1" selected="0">
            <x v="0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9"/>
          </reference>
          <reference field="12" count="1" selected="0">
            <x v="102"/>
          </reference>
          <reference field="15" count="1" selected="0">
            <x v="0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40"/>
          </reference>
          <reference field="12" count="1" selected="0">
            <x v="100"/>
          </reference>
          <reference field="15" count="1" selected="0">
            <x v="391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6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41"/>
          </reference>
          <reference field="12" count="1" selected="0">
            <x v="103"/>
          </reference>
          <reference field="15" count="1" selected="0">
            <x v="89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42"/>
          </reference>
          <reference field="12" count="1" selected="0">
            <x v="107"/>
          </reference>
          <reference field="15" count="1" selected="0">
            <x v="393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43"/>
          </reference>
          <reference field="12" count="1" selected="0">
            <x v="107"/>
          </reference>
          <reference field="15" count="1" selected="0">
            <x v="356"/>
          </reference>
        </references>
      </pivotArea>
    </format>
    <format dxfId="2568">
      <pivotArea dataOnly="0" labelOnly="1" outline="0" fieldPosition="0">
        <references count="3">
          <reference field="1" count="1" selected="0">
            <x v="3"/>
          </reference>
          <reference field="12" count="1">
            <x v="137"/>
          </reference>
          <reference field="15" count="1" selected="0">
            <x v="323"/>
          </reference>
        </references>
      </pivotArea>
    </format>
    <format dxfId="2567">
      <pivotArea dataOnly="0" labelOnly="1" outline="0" fieldPosition="0">
        <references count="3">
          <reference field="1" count="1" selected="0">
            <x v="3"/>
          </reference>
          <reference field="12" count="1">
            <x v="137"/>
          </reference>
          <reference field="15" count="1" selected="0">
            <x v="323"/>
          </reference>
        </references>
      </pivotArea>
    </format>
    <format dxfId="2566">
      <pivotArea dataOnly="0" labelOnly="1" outline="0" fieldPosition="0">
        <references count="3">
          <reference field="1" count="1" selected="0">
            <x v="3"/>
          </reference>
          <reference field="12" count="1">
            <x v="137"/>
          </reference>
          <reference field="15" count="1" selected="0">
            <x v="323"/>
          </reference>
        </references>
      </pivotArea>
    </format>
    <format dxfId="2565">
      <pivotArea dataOnly="0" labelOnly="1" outline="0" fieldPosition="0">
        <references count="3">
          <reference field="1" count="1" selected="0">
            <x v="3"/>
          </reference>
          <reference field="12" count="1">
            <x v="137"/>
          </reference>
          <reference field="15" count="1" selected="0">
            <x v="323"/>
          </reference>
        </references>
      </pivotArea>
    </format>
    <format dxfId="2564">
      <pivotArea dataOnly="0" labelOnly="1" outline="0" fieldPosition="0">
        <references count="3">
          <reference field="1" count="1" selected="0">
            <x v="3"/>
          </reference>
          <reference field="12" count="1">
            <x v="137"/>
          </reference>
          <reference field="15" count="1" selected="0">
            <x v="323"/>
          </reference>
        </references>
      </pivotArea>
    </format>
    <format dxfId="2563">
      <pivotArea dataOnly="0" outline="0" fieldPosition="0">
        <references count="1">
          <reference field="8" count="1">
            <x v="50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8"/>
          </reference>
          <reference field="6" count="1" selected="0">
            <x v="190"/>
          </reference>
          <reference field="8" count="1">
            <x v="49"/>
          </reference>
          <reference field="12" count="1" selected="0">
            <x v="0"/>
          </reference>
          <reference field="15" count="1" selected="0">
            <x v="450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51"/>
          </reference>
          <reference field="12" count="1" selected="0">
            <x v="136"/>
          </reference>
          <reference field="15" count="1" selected="0">
            <x v="421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51"/>
          </reference>
          <reference field="12" count="1" selected="0">
            <x v="134"/>
          </reference>
          <reference field="15" count="1" selected="0">
            <x v="418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52"/>
          </reference>
          <reference field="12" count="1" selected="0">
            <x v="137"/>
          </reference>
          <reference field="15" count="1" selected="0">
            <x v="380"/>
          </reference>
        </references>
      </pivotArea>
    </format>
    <format dxfId="2558">
      <pivotArea dataOnly="0" labelOnly="1" fieldPosition="0">
        <references count="7">
          <reference field="0" count="1" selected="0">
            <x v="8"/>
          </reference>
          <reference field="1" count="1" selected="0">
            <x v="3"/>
          </reference>
          <reference field="6" count="1" selected="0">
            <x v="8"/>
          </reference>
          <reference field="7" count="1">
            <x v="240"/>
          </reference>
          <reference field="8" count="1" selected="0">
            <x v="0"/>
          </reference>
          <reference field="12" count="1" selected="0">
            <x v="139"/>
          </reference>
          <reference field="15" count="1" selected="0">
            <x v="361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6" count="1" selected="0">
            <x v="63"/>
          </reference>
          <reference field="8" count="1">
            <x v="55"/>
          </reference>
          <reference field="12" count="1" selected="0">
            <x v="137"/>
          </reference>
          <reference field="15" count="1" selected="0">
            <x v="383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6" count="1" selected="0">
            <x v="63"/>
          </reference>
          <reference field="8" count="1">
            <x v="55"/>
          </reference>
          <reference field="12" count="1" selected="0">
            <x v="137"/>
          </reference>
          <reference field="15" count="1" selected="0">
            <x v="383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6" count="1" selected="0">
            <x v="63"/>
          </reference>
          <reference field="8" count="1">
            <x v="55"/>
          </reference>
          <reference field="12" count="1" selected="0">
            <x v="137"/>
          </reference>
          <reference field="15" count="1" selected="0">
            <x v="383"/>
          </reference>
        </references>
      </pivotArea>
    </format>
    <format dxfId="2554">
      <pivotArea dataOnly="0" labelOnly="1" fieldPosition="0">
        <references count="7">
          <reference field="0" count="1" selected="0">
            <x v="8"/>
          </reference>
          <reference field="1" count="1" selected="0">
            <x v="3"/>
          </reference>
          <reference field="6" count="1" selected="0">
            <x v="8"/>
          </reference>
          <reference field="7" count="1">
            <x v="246"/>
          </reference>
          <reference field="8" count="1" selected="0">
            <x v="0"/>
          </reference>
          <reference field="12" count="1" selected="0">
            <x v="139"/>
          </reference>
          <reference field="15" count="1" selected="0">
            <x v="36"/>
          </reference>
        </references>
      </pivotArea>
    </format>
    <format dxfId="2553">
      <pivotArea dataOnly="0" labelOnly="1" fieldPosition="0">
        <references count="7">
          <reference field="0" count="1" selected="0">
            <x v="6"/>
          </reference>
          <reference field="1" count="1" selected="0">
            <x v="7"/>
          </reference>
          <reference field="6" count="1" selected="0">
            <x v="8"/>
          </reference>
          <reference field="7" count="1">
            <x v="248"/>
          </reference>
          <reference field="8" count="1" selected="0">
            <x v="0"/>
          </reference>
          <reference field="12" count="1" selected="0">
            <x v="145"/>
          </reference>
          <reference field="15" count="1" selected="0">
            <x v="595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8" count="1">
            <x v="67"/>
          </reference>
          <reference field="12" count="1" selected="0">
            <x v="152"/>
          </reference>
          <reference field="15" count="1" selected="0">
            <x v="402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7"/>
          </reference>
          <reference field="6" count="1" selected="0">
            <x v="22"/>
          </reference>
          <reference field="8" count="1">
            <x v="66"/>
          </reference>
          <reference field="12" count="1" selected="0">
            <x v="148"/>
          </reference>
          <reference field="15" count="1" selected="0">
            <x v="451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65"/>
          </reference>
          <reference field="12" count="1" selected="0">
            <x v="147"/>
          </reference>
          <reference field="15" count="1" selected="0">
            <x v="483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6"/>
          </reference>
          <reference field="6" count="1" selected="0">
            <x v="5"/>
          </reference>
          <reference field="8" count="1">
            <x v="69"/>
          </reference>
          <reference field="12" count="1" selected="0">
            <x v="152"/>
          </reference>
          <reference field="15" count="1" selected="0">
            <x v="274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73"/>
          </reference>
          <reference field="12" count="1" selected="0">
            <x v="166"/>
          </reference>
          <reference field="15" count="1" selected="0">
            <x v="53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74"/>
          </reference>
          <reference field="12" count="1" selected="0">
            <x v="169"/>
          </reference>
          <reference field="15" count="1" selected="0">
            <x v="302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74"/>
          </reference>
          <reference field="12" count="1" selected="0">
            <x v="169"/>
          </reference>
          <reference field="15" count="1" selected="0">
            <x v="218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80"/>
          </reference>
          <reference field="12" count="1" selected="0">
            <x v="177"/>
          </reference>
          <reference field="15" count="1" selected="0">
            <x v="0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80"/>
          </reference>
          <reference field="12" count="1" selected="0">
            <x v="177"/>
          </reference>
          <reference field="15" count="1" selected="0">
            <x v="285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81"/>
          </reference>
          <reference field="12" count="1" selected="0">
            <x v="182"/>
          </reference>
          <reference field="15" count="1" selected="0">
            <x v="104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82"/>
          </reference>
          <reference field="12" count="1" selected="0">
            <x v="181"/>
          </reference>
          <reference field="15" count="1" selected="0">
            <x v="280"/>
          </reference>
        </references>
      </pivotArea>
    </format>
    <format dxfId="2541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81"/>
          </reference>
          <reference field="12" count="1" selected="0">
            <x v="182"/>
          </reference>
          <reference field="15" count="1" selected="0">
            <x v="75"/>
          </reference>
        </references>
      </pivotArea>
    </format>
    <format dxfId="2540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83"/>
          </reference>
          <reference field="12" count="1" selected="0">
            <x v="186"/>
          </reference>
          <reference field="15" count="1" selected="0">
            <x v="192"/>
          </reference>
        </references>
      </pivotArea>
    </format>
    <format dxfId="2539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83"/>
          </reference>
          <reference field="12" count="1" selected="0">
            <x v="186"/>
          </reference>
          <reference field="15" count="1" selected="0">
            <x v="118"/>
          </reference>
        </references>
      </pivotArea>
    </format>
    <format dxfId="2538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84"/>
          </reference>
          <reference field="12" count="1" selected="0">
            <x v="185"/>
          </reference>
          <reference field="15" count="1" selected="0">
            <x v="144"/>
          </reference>
        </references>
      </pivotArea>
    </format>
    <format dxfId="2537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86"/>
          </reference>
          <reference field="12" count="1" selected="0">
            <x v="184"/>
          </reference>
          <reference field="15" count="1" selected="0">
            <x v="366"/>
          </reference>
        </references>
      </pivotArea>
    </format>
    <format dxfId="2536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87"/>
          </reference>
          <reference field="12" count="1" selected="0">
            <x v="184"/>
          </reference>
          <reference field="15" count="1" selected="0">
            <x v="366"/>
          </reference>
        </references>
      </pivotArea>
    </format>
    <format dxfId="253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87"/>
          </reference>
          <reference field="12" count="1" selected="0">
            <x v="184"/>
          </reference>
          <reference field="15" count="1" selected="0">
            <x v="327"/>
          </reference>
        </references>
      </pivotArea>
    </format>
    <format dxfId="2534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5"/>
          </reference>
          <reference field="8" count="1">
            <x v="101"/>
          </reference>
          <reference field="12" count="1" selected="0">
            <x v="203"/>
          </reference>
          <reference field="15" count="1" selected="0">
            <x v="70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7"/>
          </reference>
          <reference field="6" count="1" selected="0">
            <x v="5"/>
          </reference>
          <reference field="8" count="1">
            <x v="103"/>
          </reference>
          <reference field="12" count="1" selected="0">
            <x v="207"/>
          </reference>
          <reference field="15" count="1" selected="0">
            <x v="569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7"/>
          </reference>
          <reference field="6" count="1" selected="0">
            <x v="63"/>
          </reference>
          <reference field="8" count="1">
            <x v="104"/>
          </reference>
          <reference field="12" count="1" selected="0">
            <x v="207"/>
          </reference>
          <reference field="15" count="1" selected="0">
            <x v="519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4"/>
          </reference>
          <reference field="6" count="1" selected="0">
            <x v="63"/>
          </reference>
          <reference field="8" count="1">
            <x v="105"/>
          </reference>
          <reference field="12" count="1" selected="0">
            <x v="207"/>
          </reference>
          <reference field="15" count="1" selected="0">
            <x v="501"/>
          </reference>
        </references>
      </pivotArea>
    </format>
    <format dxfId="2530">
      <pivotArea dataOnly="0" labelOnly="1" fieldPosition="0">
        <references count="7">
          <reference field="0" count="1" selected="0">
            <x v="16"/>
          </reference>
          <reference field="1" count="1" selected="0">
            <x v="8"/>
          </reference>
          <reference field="6" count="1" selected="0">
            <x v="0"/>
          </reference>
          <reference field="7" count="1">
            <x v="382"/>
          </reference>
          <reference field="8" count="1" selected="0">
            <x v="0"/>
          </reference>
          <reference field="12" count="1" selected="0">
            <x v="0"/>
          </reference>
          <reference field="15" count="1" selected="0">
            <x v="168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16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112"/>
          </reference>
          <reference field="12" count="1" selected="0">
            <x v="217"/>
          </reference>
          <reference field="15" count="1" selected="0">
            <x v="70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11"/>
          </reference>
          <reference field="12" count="1" selected="0">
            <x v="216"/>
          </reference>
          <reference field="15" count="1" selected="0">
            <x v="38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13"/>
          </reference>
          <reference field="12" count="1" selected="0">
            <x v="216"/>
          </reference>
          <reference field="15" count="1" selected="0">
            <x v="38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15"/>
          </reference>
          <reference field="12" count="1" selected="0">
            <x v="221"/>
          </reference>
          <reference field="15" count="1" selected="0">
            <x v="0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16"/>
          </reference>
          <reference field="12" count="1" selected="0">
            <x v="216"/>
          </reference>
          <reference field="15" count="1" selected="0">
            <x v="29"/>
          </reference>
        </references>
      </pivotArea>
    </format>
    <format dxfId="2524">
      <pivotArea dataOnly="0" labelOnly="1" outline="0" fieldPosition="0">
        <references count="4">
          <reference field="0" count="1">
            <x v="3"/>
          </reference>
          <reference field="1" count="1" selected="0">
            <x v="6"/>
          </reference>
          <reference field="12" count="1" selected="0">
            <x v="221"/>
          </reference>
          <reference field="15" count="1" selected="0">
            <x v="412"/>
          </reference>
        </references>
      </pivotArea>
    </format>
    <format dxfId="2523">
      <pivotArea dataOnly="0" labelOnly="1" outline="0" fieldPosition="0">
        <references count="4">
          <reference field="0" count="1">
            <x v="3"/>
          </reference>
          <reference field="1" count="1" selected="0">
            <x v="6"/>
          </reference>
          <reference field="12" count="1" selected="0">
            <x v="221"/>
          </reference>
          <reference field="15" count="1" selected="0">
            <x v="412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15"/>
          </reference>
          <reference field="12" count="1" selected="0">
            <x v="221"/>
          </reference>
          <reference field="15" count="1" selected="0">
            <x v="412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18"/>
          </reference>
          <reference field="12" count="1" selected="0">
            <x v="221"/>
          </reference>
          <reference field="15" count="1" selected="0">
            <x v="412"/>
          </reference>
        </references>
      </pivotArea>
    </format>
    <format dxfId="2520">
      <pivotArea dataOnly="0" labelOnly="1" outline="0" fieldPosition="0">
        <references count="4">
          <reference field="0" count="1">
            <x v="3"/>
          </reference>
          <reference field="1" count="1" selected="0">
            <x v="6"/>
          </reference>
          <reference field="12" count="1" selected="0">
            <x v="221"/>
          </reference>
          <reference field="15" count="1" selected="0">
            <x v="387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18"/>
          </reference>
          <reference field="12" count="1" selected="0">
            <x v="221"/>
          </reference>
          <reference field="15" count="1" selected="0">
            <x v="387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16"/>
          </reference>
          <reference field="12" count="1" selected="0">
            <x v="216"/>
          </reference>
          <reference field="15" count="1" selected="0">
            <x v="7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18"/>
          </reference>
          <reference field="12" count="1" selected="0">
            <x v="221"/>
          </reference>
          <reference field="15" count="1" selected="0">
            <x v="382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0"/>
          </reference>
          <reference field="6" count="1" selected="0">
            <x v="22"/>
          </reference>
          <reference field="8" count="1">
            <x v="116"/>
          </reference>
          <reference field="12" count="1" selected="0">
            <x v="216"/>
          </reference>
          <reference field="15" count="1" selected="0">
            <x v="2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18"/>
          </reference>
          <reference field="12" count="1" selected="0">
            <x v="221"/>
          </reference>
          <reference field="15" count="1" selected="0">
            <x v="284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1"/>
          </reference>
          <reference field="6" count="1" selected="0">
            <x v="224"/>
          </reference>
          <reference field="8" count="1">
            <x v="119"/>
          </reference>
          <reference field="12" count="1" selected="0">
            <x v="0"/>
          </reference>
          <reference field="15" count="1" selected="0">
            <x v="0"/>
          </reference>
        </references>
      </pivotArea>
    </format>
    <format dxfId="2513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22"/>
          </reference>
          <reference field="12" count="1" selected="0">
            <x v="244"/>
          </reference>
          <reference field="15" count="1" selected="0">
            <x v="609"/>
          </reference>
        </references>
      </pivotArea>
    </format>
    <format dxfId="2512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7"/>
          </reference>
          <reference field="6" count="1" selected="0">
            <x v="63"/>
          </reference>
          <reference field="8" count="1">
            <x v="123"/>
          </reference>
          <reference field="12" count="1" selected="0">
            <x v="245"/>
          </reference>
          <reference field="15" count="1" selected="0">
            <x v="639"/>
          </reference>
        </references>
      </pivotArea>
    </format>
    <format dxfId="2511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25"/>
          </reference>
          <reference field="12" count="1" selected="0">
            <x v="243"/>
          </reference>
          <reference field="15" count="1" selected="0">
            <x v="0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26"/>
          </reference>
          <reference field="12" count="1" selected="0">
            <x v="243"/>
          </reference>
          <reference field="15" count="1" selected="0">
            <x v="0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29"/>
          </reference>
          <reference field="12" count="1" selected="0">
            <x v="246"/>
          </reference>
          <reference field="15" count="1" selected="0">
            <x v="516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27"/>
          </reference>
          <reference field="12" count="1" selected="0">
            <x v="244"/>
          </reference>
          <reference field="15" count="1" selected="0">
            <x v="550"/>
          </reference>
        </references>
      </pivotArea>
    </format>
    <format dxfId="2507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28"/>
          </reference>
          <reference field="12" count="1" selected="0">
            <x v="245"/>
          </reference>
          <reference field="15" count="1" selected="0">
            <x v="609"/>
          </reference>
        </references>
      </pivotArea>
    </format>
    <format dxfId="2506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29"/>
          </reference>
          <reference field="12" count="1" selected="0">
            <x v="246"/>
          </reference>
          <reference field="15" count="1" selected="0">
            <x v="391"/>
          </reference>
        </references>
      </pivotArea>
    </format>
    <format dxfId="2505">
      <pivotArea dataOnly="0" labelOnly="1" outline="0" fieldPosition="0">
        <references count="6">
          <reference field="0" count="1" selected="0">
            <x v="6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28"/>
          </reference>
          <reference field="12" count="1" selected="0">
            <x v="245"/>
          </reference>
          <reference field="15" count="1" selected="0">
            <x v="517"/>
          </reference>
        </references>
      </pivotArea>
    </format>
    <format dxfId="2504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29"/>
          </reference>
          <reference field="12" count="1" selected="0">
            <x v="246"/>
          </reference>
          <reference field="15" count="1" selected="0">
            <x v="363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30"/>
          </reference>
          <reference field="12" count="1" selected="0">
            <x v="246"/>
          </reference>
          <reference field="15" count="1" selected="0">
            <x v="263"/>
          </reference>
        </references>
      </pivotArea>
    </format>
    <format dxfId="2502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30"/>
          </reference>
          <reference field="12" count="1" selected="0">
            <x v="246"/>
          </reference>
          <reference field="15" count="1" selected="0">
            <x v="230"/>
          </reference>
        </references>
      </pivotArea>
    </format>
    <format dxfId="2501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43"/>
          </reference>
          <reference field="12" count="1" selected="0">
            <x v="270"/>
          </reference>
          <reference field="15" count="1" selected="0">
            <x v="246"/>
          </reference>
        </references>
      </pivotArea>
    </format>
    <format dxfId="2500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45"/>
          </reference>
          <reference field="12" count="1" selected="0">
            <x v="271"/>
          </reference>
          <reference field="15" count="1" selected="0">
            <x v="514"/>
          </reference>
        </references>
      </pivotArea>
    </format>
    <format dxfId="2499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46"/>
          </reference>
          <reference field="12" count="1" selected="0">
            <x v="274"/>
          </reference>
          <reference field="15" count="1" selected="0">
            <x v="63"/>
          </reference>
        </references>
      </pivotArea>
    </format>
    <format dxfId="2498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45"/>
          </reference>
          <reference field="12" count="1" selected="0">
            <x v="271"/>
          </reference>
          <reference field="15" count="1" selected="0">
            <x v="478"/>
          </reference>
        </references>
      </pivotArea>
    </format>
    <format dxfId="2497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46"/>
          </reference>
          <reference field="12" count="1" selected="0">
            <x v="274"/>
          </reference>
          <reference field="15" count="1" selected="0">
            <x v="33"/>
          </reference>
        </references>
      </pivotArea>
    </format>
    <format dxfId="2496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45"/>
          </reference>
          <reference field="12" count="1" selected="0">
            <x v="271"/>
          </reference>
          <reference field="15" count="1" selected="0">
            <x v="375"/>
          </reference>
        </references>
      </pivotArea>
    </format>
    <format dxfId="2495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45"/>
          </reference>
          <reference field="12" count="1" selected="0">
            <x v="271"/>
          </reference>
          <reference field="15" count="1" selected="0">
            <x v="343"/>
          </reference>
        </references>
      </pivotArea>
    </format>
    <format dxfId="2494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6" count="1" selected="0">
            <x v="8"/>
          </reference>
          <reference field="7" count="1">
            <x v="494"/>
          </reference>
          <reference field="8" count="1" selected="0">
            <x v="0"/>
          </reference>
          <reference field="12" count="1" selected="0">
            <x v="279"/>
          </reference>
          <reference field="15" count="1" selected="0">
            <x v="422"/>
          </reference>
        </references>
      </pivotArea>
    </format>
    <format dxfId="2493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60"/>
          </reference>
          <reference field="12" count="1" selected="0">
            <x v="296"/>
          </reference>
          <reference field="15" count="1" selected="0">
            <x v="536"/>
          </reference>
        </references>
      </pivotArea>
    </format>
    <format dxfId="2492">
      <pivotArea dataOnly="0" labelOnly="1" outline="0" fieldPosition="0">
        <references count="4">
          <reference field="0" count="1">
            <x v="15"/>
          </reference>
          <reference field="1" count="1" selected="0">
            <x v="6"/>
          </reference>
          <reference field="12" count="1" selected="0">
            <x v="298"/>
          </reference>
          <reference field="15" count="1" selected="0">
            <x v="408"/>
          </reference>
        </references>
      </pivotArea>
    </format>
    <format dxfId="2491">
      <pivotArea dataOnly="0" labelOnly="1" outline="0" fieldPosition="0">
        <references count="4">
          <reference field="0" count="1">
            <x v="15"/>
          </reference>
          <reference field="1" count="1" selected="0">
            <x v="6"/>
          </reference>
          <reference field="12" count="1" selected="0">
            <x v="298"/>
          </reference>
          <reference field="15" count="1" selected="0">
            <x v="408"/>
          </reference>
        </references>
      </pivotArea>
    </format>
    <format dxfId="2490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63"/>
          </reference>
          <reference field="12" count="1" selected="0">
            <x v="298"/>
          </reference>
          <reference field="15" count="1" selected="0">
            <x v="408"/>
          </reference>
        </references>
      </pivotArea>
    </format>
    <format dxfId="2489">
      <pivotArea dataOnly="0" labelOnly="1" outline="0" fieldPosition="0">
        <references count="4">
          <reference field="0" count="1">
            <x v="15"/>
          </reference>
          <reference field="1" count="1" selected="0">
            <x v="6"/>
          </reference>
          <reference field="12" count="1" selected="0">
            <x v="298"/>
          </reference>
          <reference field="15" count="1" selected="0">
            <x v="312"/>
          </reference>
        </references>
      </pivotArea>
    </format>
    <format dxfId="2488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63"/>
          </reference>
          <reference field="12" count="1" selected="0">
            <x v="298"/>
          </reference>
          <reference field="15" count="1" selected="0">
            <x v="312"/>
          </reference>
        </references>
      </pivotArea>
    </format>
    <format dxfId="2487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0"/>
          </reference>
          <reference field="6" count="1" selected="0">
            <x v="63"/>
          </reference>
          <reference field="8" count="1">
            <x v="164"/>
          </reference>
          <reference field="12" count="1" selected="0">
            <x v="300"/>
          </reference>
          <reference field="15" count="1" selected="0">
            <x v="38"/>
          </reference>
        </references>
      </pivotArea>
    </format>
    <format dxfId="2486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7"/>
          </reference>
          <reference field="6" count="1" selected="0">
            <x v="63"/>
          </reference>
          <reference field="8" count="1">
            <x v="164"/>
          </reference>
          <reference field="12" count="1" selected="0">
            <x v="303"/>
          </reference>
          <reference field="15" count="1" selected="0">
            <x v="631"/>
          </reference>
        </references>
      </pivotArea>
    </format>
    <format dxfId="2485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65"/>
          </reference>
          <reference field="12" count="1" selected="0">
            <x v="305"/>
          </reference>
          <reference field="15" count="1" selected="0">
            <x v="10"/>
          </reference>
        </references>
      </pivotArea>
    </format>
    <format dxfId="2484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63"/>
          </reference>
          <reference field="12" count="1" selected="0">
            <x v="298"/>
          </reference>
          <reference field="15" count="1" selected="0">
            <x v="277"/>
          </reference>
        </references>
      </pivotArea>
    </format>
    <format dxfId="2483">
      <pivotArea dataOnly="0" labelOnly="1" outline="0" fieldPosition="0">
        <references count="3">
          <reference field="1" count="1" selected="0">
            <x v="6"/>
          </reference>
          <reference field="12" count="1">
            <x v="317"/>
          </reference>
          <reference field="15" count="1" selected="0">
            <x v="574"/>
          </reference>
        </references>
      </pivotArea>
    </format>
    <format dxfId="2482">
      <pivotArea dataOnly="0" labelOnly="1" outline="0" fieldPosition="0">
        <references count="3">
          <reference field="1" count="1" selected="0">
            <x v="6"/>
          </reference>
          <reference field="12" count="1">
            <x v="317"/>
          </reference>
          <reference field="15" count="1" selected="0">
            <x v="574"/>
          </reference>
        </references>
      </pivotArea>
    </format>
    <format dxfId="2481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75"/>
          </reference>
          <reference field="12" count="1" selected="0">
            <x v="0"/>
          </reference>
          <reference field="15" count="1" selected="0">
            <x v="631"/>
          </reference>
        </references>
      </pivotArea>
    </format>
    <format dxfId="2480">
      <pivotArea dataOnly="0" labelOnly="1" outline="0" fieldPosition="0">
        <references count="6">
          <reference field="0" count="1" selected="0">
            <x v="11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75"/>
          </reference>
          <reference field="12" count="1" selected="0">
            <x v="0"/>
          </reference>
          <reference field="15" count="1" selected="0">
            <x v="632"/>
          </reference>
        </references>
      </pivotArea>
    </format>
    <format dxfId="2479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84"/>
          </reference>
          <reference field="12" count="1" selected="0">
            <x v="344"/>
          </reference>
          <reference field="15" count="1" selected="0">
            <x v="326"/>
          </reference>
        </references>
      </pivotArea>
    </format>
    <format dxfId="2478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184"/>
          </reference>
          <reference field="12" count="1" selected="0">
            <x v="344"/>
          </reference>
          <reference field="15" count="1" selected="0">
            <x v="282"/>
          </reference>
        </references>
      </pivotArea>
    </format>
    <format dxfId="2477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186"/>
          </reference>
          <reference field="12" count="1" selected="0">
            <x v="347"/>
          </reference>
          <reference field="15" count="1" selected="0">
            <x v="20"/>
          </reference>
        </references>
      </pivotArea>
    </format>
    <format dxfId="2476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99"/>
          </reference>
          <reference field="12" count="1" selected="0">
            <x v="380"/>
          </reference>
          <reference field="15" count="1" selected="0">
            <x v="497"/>
          </reference>
        </references>
      </pivotArea>
    </format>
    <format dxfId="2475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199"/>
          </reference>
          <reference field="12" count="1" selected="0">
            <x v="380"/>
          </reference>
          <reference field="15" count="1" selected="0">
            <x v="460"/>
          </reference>
        </references>
      </pivotArea>
    </format>
    <format dxfId="2474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677"/>
          </reference>
          <reference field="8" count="1" selected="0">
            <x v="0"/>
          </reference>
          <reference field="12" count="1" selected="0">
            <x v="383"/>
          </reference>
          <reference field="15" count="1" selected="0">
            <x v="518"/>
          </reference>
        </references>
      </pivotArea>
    </format>
    <format dxfId="2473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677"/>
          </reference>
          <reference field="8" count="1" selected="0">
            <x v="0"/>
          </reference>
          <reference field="12" count="1" selected="0">
            <x v="389"/>
          </reference>
          <reference field="15" count="1" selected="0">
            <x v="260"/>
          </reference>
        </references>
      </pivotArea>
    </format>
    <format dxfId="2472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677"/>
          </reference>
          <reference field="8" count="1" selected="0">
            <x v="0"/>
          </reference>
          <reference field="12" count="1" selected="0">
            <x v="389"/>
          </reference>
          <reference field="15" count="1" selected="0">
            <x v="226"/>
          </reference>
        </references>
      </pivotArea>
    </format>
    <format dxfId="2471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214"/>
          </reference>
          <reference field="12" count="1" selected="0">
            <x v="405"/>
          </reference>
          <reference field="15" count="1" selected="0">
            <x v="503"/>
          </reference>
        </references>
      </pivotArea>
    </format>
    <format dxfId="2470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214"/>
          </reference>
          <reference field="12" count="1" selected="0">
            <x v="405"/>
          </reference>
          <reference field="15" count="1" selected="0">
            <x v="466"/>
          </reference>
        </references>
      </pivotArea>
    </format>
    <format dxfId="2469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16"/>
          </reference>
          <reference field="12" count="1" selected="0">
            <x v="410"/>
          </reference>
          <reference field="15" count="1" selected="0">
            <x v="368"/>
          </reference>
        </references>
      </pivotArea>
    </format>
    <format dxfId="2468">
      <pivotArea dataOnly="0" labelOnly="1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6" count="1">
            <x v="338"/>
          </reference>
          <reference field="12" count="1" selected="0">
            <x v="0"/>
          </reference>
          <reference field="15" count="1" selected="0">
            <x v="316"/>
          </reference>
        </references>
      </pivotArea>
    </format>
    <format dxfId="2467">
      <pivotArea dataOnly="0" labelOnly="1" fieldPosition="0">
        <references count="5">
          <reference field="0" count="1" selected="0">
            <x v="3"/>
          </reference>
          <reference field="1" count="1" selected="0">
            <x v="8"/>
          </reference>
          <reference field="6" count="1">
            <x v="337"/>
          </reference>
          <reference field="12" count="1" selected="0">
            <x v="0"/>
          </reference>
          <reference field="15" count="1" selected="0">
            <x v="324"/>
          </reference>
        </references>
      </pivotArea>
    </format>
    <format dxfId="2466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17"/>
          </reference>
          <reference field="12" count="1" selected="0">
            <x v="410"/>
          </reference>
          <reference field="15" count="1" selected="0">
            <x v="458"/>
          </reference>
        </references>
      </pivotArea>
    </format>
    <format dxfId="2465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17"/>
          </reference>
          <reference field="12" count="1" selected="0">
            <x v="410"/>
          </reference>
          <reference field="15" count="1" selected="0">
            <x v="473"/>
          </reference>
        </references>
      </pivotArea>
    </format>
    <format dxfId="2464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17"/>
          </reference>
          <reference field="12" count="1" selected="0">
            <x v="410"/>
          </reference>
          <reference field="15" count="1" selected="0">
            <x v="514"/>
          </reference>
        </references>
      </pivotArea>
    </format>
    <format dxfId="2463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242"/>
          </reference>
          <reference field="12" count="1" selected="0">
            <x v="457"/>
          </reference>
          <reference field="15" count="1" selected="0">
            <x v="263"/>
          </reference>
        </references>
      </pivotArea>
    </format>
    <format dxfId="2462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242"/>
          </reference>
          <reference field="12" count="1" selected="0">
            <x v="457"/>
          </reference>
          <reference field="15" count="1" selected="0">
            <x v="155"/>
          </reference>
        </references>
      </pivotArea>
    </format>
    <format dxfId="2461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46"/>
          </reference>
          <reference field="12" count="1" selected="0">
            <x v="465"/>
          </reference>
          <reference field="15" count="1" selected="0">
            <x v="161"/>
          </reference>
        </references>
      </pivotArea>
    </format>
    <format dxfId="2460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46"/>
          </reference>
          <reference field="12" count="1" selected="0">
            <x v="465"/>
          </reference>
          <reference field="15" count="1" selected="0">
            <x v="140"/>
          </reference>
        </references>
      </pivotArea>
    </format>
    <format dxfId="2459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47"/>
          </reference>
          <reference field="12" count="1" selected="0">
            <x v="465"/>
          </reference>
          <reference field="15" count="1" selected="0">
            <x v="49"/>
          </reference>
        </references>
      </pivotArea>
    </format>
    <format dxfId="2458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6" count="1" selected="0">
            <x v="8"/>
          </reference>
          <reference field="8" count="1">
            <x v="247"/>
          </reference>
          <reference field="12" count="1" selected="0">
            <x v="465"/>
          </reference>
          <reference field="15" count="1" selected="0">
            <x v="34"/>
          </reference>
        </references>
      </pivotArea>
    </format>
    <format dxfId="2457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830"/>
          </reference>
          <reference field="8" count="1" selected="0">
            <x v="0"/>
          </reference>
          <reference field="12" count="1" selected="0">
            <x v="476"/>
          </reference>
          <reference field="15" count="1" selected="0">
            <x v="551"/>
          </reference>
        </references>
      </pivotArea>
    </format>
    <format dxfId="2456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830"/>
          </reference>
          <reference field="8" count="1" selected="0">
            <x v="0"/>
          </reference>
          <reference field="12" count="1" selected="0">
            <x v="476"/>
          </reference>
          <reference field="15" count="1" selected="0">
            <x v="531"/>
          </reference>
        </references>
      </pivotArea>
    </format>
    <format dxfId="2455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261"/>
          </reference>
          <reference field="12" count="1" selected="0">
            <x v="494"/>
          </reference>
          <reference field="15" count="1" selected="0">
            <x v="531"/>
          </reference>
        </references>
      </pivotArea>
    </format>
    <format dxfId="2454">
      <pivotArea dataOnly="0" labelOnly="1" outline="0" fieldPosition="0">
        <references count="6">
          <reference field="0" count="1" selected="0">
            <x v="14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261"/>
          </reference>
          <reference field="12" count="1" selected="0">
            <x v="494"/>
          </reference>
          <reference field="15" count="1" selected="0">
            <x v="508"/>
          </reference>
        </references>
      </pivotArea>
    </format>
    <format dxfId="2453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262"/>
          </reference>
          <reference field="12" count="1" selected="0">
            <x v="490"/>
          </reference>
          <reference field="15" count="1" selected="0">
            <x v="275"/>
          </reference>
        </references>
      </pivotArea>
    </format>
    <format dxfId="2452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7"/>
          </reference>
          <reference field="6" count="1" selected="0">
            <x v="8"/>
          </reference>
          <reference field="8" count="1">
            <x v="262"/>
          </reference>
          <reference field="12" count="1" selected="0">
            <x v="495"/>
          </reference>
          <reference field="15" count="1" selected="0">
            <x v="527"/>
          </reference>
        </references>
      </pivotArea>
    </format>
    <format dxfId="2451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262"/>
          </reference>
          <reference field="12" count="1" selected="0">
            <x v="490"/>
          </reference>
          <reference field="15" count="1" selected="0">
            <x v="245"/>
          </reference>
        </references>
      </pivotArea>
    </format>
    <format dxfId="2450">
      <pivotArea dataOnly="0" labelOnly="1" outline="0" fieldPosition="0">
        <references count="6">
          <reference field="0" count="1" selected="0">
            <x v="13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262"/>
          </reference>
          <reference field="12" count="1" selected="0">
            <x v="490"/>
          </reference>
          <reference field="15" count="1" selected="0">
            <x v="217"/>
          </reference>
        </references>
      </pivotArea>
    </format>
    <format dxfId="2449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69"/>
          </reference>
          <reference field="12" count="1" selected="0">
            <x v="504"/>
          </reference>
          <reference field="15" count="1" selected="0">
            <x v="278"/>
          </reference>
        </references>
      </pivotArea>
    </format>
    <format dxfId="2448">
      <pivotArea dataOnly="0" labelOnly="1" outline="0" fieldPosition="0">
        <references count="6">
          <reference field="0" count="1" selected="0">
            <x v="15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69"/>
          </reference>
          <reference field="12" count="1" selected="0">
            <x v="504"/>
          </reference>
          <reference field="15" count="1" selected="0">
            <x v="196"/>
          </reference>
        </references>
      </pivotArea>
    </format>
    <format dxfId="2447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77"/>
          </reference>
          <reference field="12" count="1" selected="0">
            <x v="520"/>
          </reference>
          <reference field="15" count="1" selected="0">
            <x v="283"/>
          </reference>
        </references>
      </pivotArea>
    </format>
    <format dxfId="2446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77"/>
          </reference>
          <reference field="12" count="1" selected="0">
            <x v="520"/>
          </reference>
          <reference field="15" count="1" selected="0">
            <x v="249"/>
          </reference>
        </references>
      </pivotArea>
    </format>
    <format dxfId="244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78"/>
          </reference>
          <reference field="12" count="1" selected="0">
            <x v="520"/>
          </reference>
          <reference field="15" count="1" selected="0">
            <x v="242"/>
          </reference>
        </references>
      </pivotArea>
    </format>
    <format dxfId="2444">
      <pivotArea dataOnly="0" labelOnly="1" fieldPosition="0">
        <references count="1">
          <reference field="8" count="0"/>
        </references>
      </pivotArea>
    </format>
    <format dxfId="2443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95"/>
          </reference>
          <reference field="12" count="1" selected="0">
            <x v="554"/>
          </reference>
          <reference field="15" count="1" selected="0">
            <x v="247"/>
          </reference>
        </references>
      </pivotArea>
    </format>
    <format dxfId="2442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6" count="1" selected="0">
            <x v="8"/>
          </reference>
          <reference field="8" count="1">
            <x v="295"/>
          </reference>
          <reference field="12" count="1" selected="0">
            <x v="554"/>
          </reference>
          <reference field="15" count="1" selected="0">
            <x v="247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1"/>
          </reference>
          <reference field="6" count="1" selected="0">
            <x v="44"/>
          </reference>
          <reference field="8" count="1">
            <x v="328"/>
          </reference>
          <reference field="12" count="1" selected="0">
            <x v="614"/>
          </reference>
          <reference field="15" count="1" selected="0">
            <x v="284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1"/>
          </reference>
          <reference field="6" count="1" selected="0">
            <x v="44"/>
          </reference>
          <reference field="8" count="1">
            <x v="328"/>
          </reference>
          <reference field="12" count="1" selected="0">
            <x v="614"/>
          </reference>
          <reference field="15" count="1" selected="0">
            <x v="284"/>
          </reference>
        </references>
      </pivotArea>
    </format>
    <format dxfId="2439">
      <pivotArea dataOnly="0" labelOnly="1" fieldPosition="0">
        <references count="7">
          <reference field="0" count="1" selected="0">
            <x v="15"/>
          </reference>
          <reference field="1" count="1" selected="0">
            <x v="3"/>
          </reference>
          <reference field="6" count="1" selected="0">
            <x v="8"/>
          </reference>
          <reference field="7" count="1">
            <x v="1048"/>
          </reference>
          <reference field="8" count="1" selected="0">
            <x v="0"/>
          </reference>
          <reference field="12" count="1" selected="0">
            <x v="605"/>
          </reference>
          <reference field="15" count="1" selected="0">
            <x v="46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30"/>
          </reference>
          <reference field="12" count="1" selected="0">
            <x v="614"/>
          </reference>
          <reference field="15" count="1" selected="0">
            <x v="137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30"/>
          </reference>
          <reference field="12" count="1" selected="0">
            <x v="614"/>
          </reference>
          <reference field="15" count="1" selected="0">
            <x v="137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30"/>
          </reference>
          <reference field="12" count="1" selected="0">
            <x v="614"/>
          </reference>
          <reference field="15" count="1" selected="0">
            <x v="137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6"/>
          </reference>
          <reference field="6" count="1" selected="0">
            <x v="8"/>
          </reference>
          <reference field="8" count="1">
            <x v="330"/>
          </reference>
          <reference field="12" count="1" selected="0">
            <x v="614"/>
          </reference>
          <reference field="15" count="1" selected="0">
            <x v="137"/>
          </reference>
        </references>
      </pivotArea>
    </format>
    <format dxfId="2434">
      <pivotArea dataOnly="0" labelOnly="1" fieldPosition="0">
        <references count="7">
          <reference field="0" count="1" selected="0">
            <x v="1"/>
          </reference>
          <reference field="1" count="1" selected="0">
            <x v="3"/>
          </reference>
          <reference field="6" count="1" selected="0">
            <x v="8"/>
          </reference>
          <reference field="7" count="1">
            <x v="1087"/>
          </reference>
          <reference field="8" count="1" selected="0">
            <x v="0"/>
          </reference>
          <reference field="12" count="1" selected="0">
            <x v="630"/>
          </reference>
          <reference field="15" count="1" selected="0">
            <x v="454"/>
          </reference>
        </references>
      </pivotArea>
    </format>
    <format dxfId="2433">
      <pivotArea dataOnly="0" labelOnly="1" fieldPosition="0">
        <references count="7">
          <reference field="0" count="1" selected="0">
            <x v="2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194"/>
          </reference>
          <reference field="8" count="1" selected="0">
            <x v="0"/>
          </reference>
          <reference field="12" count="1" selected="0">
            <x v="689"/>
          </reference>
          <reference field="15" count="1" selected="0">
            <x v="526"/>
          </reference>
        </references>
      </pivotArea>
    </format>
    <format dxfId="2432">
      <pivotArea dataOnly="0" labelOnly="1" fieldPosition="0">
        <references count="7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193"/>
          </reference>
          <reference field="8" count="1" selected="0">
            <x v="0"/>
          </reference>
          <reference field="12" count="1" selected="0">
            <x v="688"/>
          </reference>
          <reference field="15" count="1" selected="0">
            <x v="550"/>
          </reference>
        </references>
      </pivotArea>
    </format>
    <format dxfId="2431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194"/>
          </reference>
          <reference field="8" count="1" selected="0">
            <x v="0"/>
          </reference>
          <reference field="12" count="1" selected="0">
            <x v="689"/>
          </reference>
          <reference field="13" count="1">
            <x v="446"/>
          </reference>
          <reference field="15" count="1" selected="0">
            <x v="526"/>
          </reference>
        </references>
      </pivotArea>
    </format>
    <format dxfId="2430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7" count="1" selected="0">
            <x v="1193"/>
          </reference>
          <reference field="8" count="1" selected="0">
            <x v="0"/>
          </reference>
          <reference field="12" count="1" selected="0">
            <x v="688"/>
          </reference>
          <reference field="13" count="1">
            <x v="403"/>
          </reference>
          <reference field="15" count="1" selected="0">
            <x v="550"/>
          </reference>
        </references>
      </pivotArea>
    </format>
    <format dxfId="2429">
      <pivotArea dataOnly="0" labelOnly="1" fieldPosition="0">
        <references count="7">
          <reference field="0" count="1" selected="0">
            <x v="2"/>
          </reference>
          <reference field="1" count="1" selected="0">
            <x v="4"/>
          </reference>
          <reference field="6" count="1" selected="0">
            <x v="130"/>
          </reference>
          <reference field="7" count="1">
            <x v="1194"/>
          </reference>
          <reference field="8" count="1" selected="0">
            <x v="0"/>
          </reference>
          <reference field="12" count="1" selected="0">
            <x v="689"/>
          </reference>
          <reference field="15" count="1" selected="0">
            <x v="0"/>
          </reference>
        </references>
      </pivotArea>
    </format>
    <format dxfId="2428">
      <pivotArea dataOnly="0" labelOnly="1" fieldPosition="0">
        <references count="7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193"/>
          </reference>
          <reference field="8" count="1" selected="0">
            <x v="0"/>
          </reference>
          <reference field="12" count="1" selected="0">
            <x v="688"/>
          </reference>
          <reference field="15" count="1" selected="0">
            <x v="532"/>
          </reference>
        </references>
      </pivotArea>
    </format>
    <format dxfId="2427">
      <pivotArea dataOnly="0" labelOnly="1" fieldPosition="0">
        <references count="7">
          <reference field="0" count="1" selected="0">
            <x v="2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194"/>
          </reference>
          <reference field="8" count="1" selected="0">
            <x v="0"/>
          </reference>
          <reference field="12" count="1" selected="0">
            <x v="689"/>
          </reference>
          <reference field="15" count="1" selected="0">
            <x v="355"/>
          </reference>
        </references>
      </pivotArea>
    </format>
    <format dxfId="2426">
      <pivotArea dataOnly="0" labelOnly="1" fieldPosition="0">
        <references count="7">
          <reference field="0" count="1" selected="0">
            <x v="3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193"/>
          </reference>
          <reference field="8" count="1" selected="0">
            <x v="0"/>
          </reference>
          <reference field="12" count="1" selected="0">
            <x v="688"/>
          </reference>
          <reference field="15" count="1" selected="0">
            <x v="331"/>
          </reference>
        </references>
      </pivotArea>
    </format>
    <format dxfId="2425">
      <pivotArea dataOnly="0" labelOnly="1" fieldPosition="0">
        <references count="7">
          <reference field="0" count="1" selected="0">
            <x v="2"/>
          </reference>
          <reference field="1" count="1" selected="0">
            <x v="6"/>
          </reference>
          <reference field="6" count="1" selected="0">
            <x v="8"/>
          </reference>
          <reference field="7" count="1">
            <x v="1194"/>
          </reference>
          <reference field="8" count="1" selected="0">
            <x v="365"/>
          </reference>
          <reference field="12" count="1" selected="0">
            <x v="689"/>
          </reference>
          <reference field="15" count="1" selected="0">
            <x v="276"/>
          </reference>
        </references>
      </pivotArea>
    </format>
    <format dxfId="2424">
      <pivotArea dataOnly="0" labelOnly="1" fieldPosition="0">
        <references count="7">
          <reference field="0" count="1" selected="0">
            <x v="4"/>
          </reference>
          <reference field="1" count="1" selected="0">
            <x v="0"/>
          </reference>
          <reference field="6" count="1" selected="0">
            <x v="8"/>
          </reference>
          <reference field="7" count="1">
            <x v="1205"/>
          </reference>
          <reference field="8" count="1" selected="0">
            <x v="0"/>
          </reference>
          <reference field="12" count="1" selected="0">
            <x v="695"/>
          </reference>
          <reference field="15" count="1" selected="0">
            <x v="220"/>
          </reference>
        </references>
      </pivotArea>
    </format>
  </formats>
  <pivotTableStyleInfo name="1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47" applyNumberFormats="0" applyBorderFormats="0" applyFontFormats="0" applyPatternFormats="0" applyAlignmentFormats="0" applyWidthHeightFormats="1" dataCaption="Valores" grandTotalCaption="Total Remolcadores=&gt;" updatedVersion="6" minRefreshableVersion="3" itemPrintTitles="1" mergeItem="1" createdVersion="4" indent="0" compact="0" compactData="0" multipleFieldFilters="0" chartFormat="2">
  <location ref="D6:F17" firstHeaderRow="1" firstDataRow="1" firstDataCol="2"/>
  <pivotFields count="21">
    <pivotField dataField="1" compact="0" outline="0" showAll="0" defaultSubtotal="0"/>
    <pivotField axis="axisRow" compact="0" outline="0" showAll="0" defaultSubtotal="0">
      <items count="10">
        <item m="1" x="9"/>
        <item x="4"/>
        <item x="3"/>
        <item m="1" x="8"/>
        <item x="0"/>
        <item m="1" x="7"/>
        <item x="1"/>
        <item m="1" x="6"/>
        <item x="2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72">
        <item m="1" x="188"/>
        <item m="1" x="336"/>
        <item x="3"/>
        <item m="1" x="481"/>
        <item x="2"/>
        <item x="1"/>
        <item x="5"/>
        <item m="1" x="179"/>
        <item m="1" x="165"/>
        <item m="1" x="46"/>
        <item m="1" x="307"/>
        <item m="1" x="107"/>
        <item m="1" x="408"/>
        <item m="1" x="44"/>
        <item m="1" x="458"/>
        <item m="1" x="322"/>
        <item m="1" x="250"/>
        <item x="7"/>
        <item m="1" x="220"/>
        <item m="1" x="215"/>
        <item m="1" x="371"/>
        <item m="1" x="422"/>
        <item m="1" x="305"/>
        <item m="1" x="325"/>
        <item m="1" x="482"/>
        <item m="1" x="538"/>
        <item m="1" x="488"/>
        <item m="1" x="344"/>
        <item m="1" x="26"/>
        <item m="1" x="201"/>
        <item m="1" x="157"/>
        <item m="1" x="207"/>
        <item m="1" x="518"/>
        <item m="1" x="309"/>
        <item m="1" x="149"/>
        <item m="1" x="8"/>
        <item m="1" x="143"/>
        <item m="1" x="45"/>
        <item m="1" x="125"/>
        <item m="1" x="492"/>
        <item m="1" x="474"/>
        <item m="1" x="221"/>
        <item m="1" x="420"/>
        <item m="1" x="57"/>
        <item x="4"/>
        <item m="1" x="562"/>
        <item m="1" x="80"/>
        <item m="1" x="505"/>
        <item m="1" x="445"/>
        <item m="1" x="429"/>
        <item m="1" x="115"/>
        <item m="1" x="66"/>
        <item m="1" x="361"/>
        <item m="1" x="337"/>
        <item m="1" x="433"/>
        <item m="1" x="563"/>
        <item m="1" x="341"/>
        <item x="6"/>
        <item m="1" x="287"/>
        <item m="1" x="79"/>
        <item m="1" x="502"/>
        <item m="1" x="77"/>
        <item m="1" x="552"/>
        <item m="1" x="123"/>
        <item m="1" x="64"/>
        <item m="1" x="362"/>
        <item m="1" x="11"/>
        <item m="1" x="72"/>
        <item m="1" x="142"/>
        <item m="1" x="243"/>
        <item m="1" x="12"/>
        <item m="1" x="141"/>
        <item m="1" x="163"/>
        <item m="1" x="520"/>
        <item m="1" x="339"/>
        <item m="1" x="557"/>
        <item m="1" x="436"/>
        <item m="1" x="389"/>
        <item m="1" x="132"/>
        <item m="1" x="59"/>
        <item m="1" x="462"/>
        <item m="1" x="121"/>
        <item m="1" x="19"/>
        <item x="0"/>
        <item m="1" x="153"/>
        <item m="1" x="290"/>
        <item m="1" x="144"/>
        <item m="1" x="133"/>
        <item m="1" x="360"/>
        <item m="1" x="87"/>
        <item m="1" x="553"/>
        <item m="1" x="349"/>
        <item m="1" x="416"/>
        <item m="1" x="374"/>
        <item m="1" x="476"/>
        <item m="1" x="340"/>
        <item m="1" x="560"/>
        <item m="1" x="335"/>
        <item m="1" x="393"/>
        <item m="1" x="266"/>
        <item m="1" x="263"/>
        <item m="1" x="197"/>
        <item m="1" x="495"/>
        <item m="1" x="428"/>
        <item m="1" x="402"/>
        <item m="1" x="570"/>
        <item m="1" x="69"/>
        <item m="1" x="564"/>
        <item m="1" x="159"/>
        <item m="1" x="326"/>
        <item m="1" x="161"/>
        <item m="1" x="457"/>
        <item m="1" x="501"/>
        <item m="1" x="353"/>
        <item m="1" x="297"/>
        <item m="1" x="549"/>
        <item m="1" x="314"/>
        <item m="1" x="145"/>
        <item m="1" x="424"/>
        <item m="1" x="129"/>
        <item m="1" x="40"/>
        <item m="1" x="294"/>
        <item m="1" x="242"/>
        <item m="1" x="427"/>
        <item m="1" x="530"/>
        <item m="1" x="543"/>
        <item m="1" x="239"/>
        <item m="1" x="378"/>
        <item m="1" x="49"/>
        <item m="1" x="219"/>
        <item m="1" x="405"/>
        <item m="1" x="417"/>
        <item m="1" x="184"/>
        <item m="1" x="228"/>
        <item m="1" x="234"/>
        <item m="1" x="526"/>
        <item m="1" x="196"/>
        <item m="1" x="304"/>
        <item m="1" x="128"/>
        <item m="1" x="218"/>
        <item m="1" x="485"/>
        <item m="1" x="334"/>
        <item m="1" x="435"/>
        <item m="1" x="404"/>
        <item m="1" x="460"/>
        <item m="1" x="78"/>
        <item m="1" x="168"/>
        <item m="1" x="491"/>
        <item m="1" x="308"/>
        <item m="1" x="31"/>
        <item m="1" x="70"/>
        <item m="1" x="311"/>
        <item m="1" x="203"/>
        <item m="1" x="292"/>
        <item m="1" x="450"/>
        <item m="1" x="567"/>
        <item m="1" x="379"/>
        <item m="1" x="189"/>
        <item m="1" x="155"/>
        <item m="1" x="98"/>
        <item m="1" x="199"/>
        <item m="1" x="136"/>
        <item m="1" x="380"/>
        <item m="1" x="212"/>
        <item m="1" x="288"/>
        <item m="1" x="293"/>
        <item m="1" x="400"/>
        <item m="1" x="352"/>
        <item m="1" x="324"/>
        <item m="1" x="399"/>
        <item m="1" x="565"/>
        <item m="1" x="347"/>
        <item m="1" x="30"/>
        <item m="1" x="440"/>
        <item m="1" x="249"/>
        <item m="1" x="395"/>
        <item m="1" x="32"/>
        <item m="1" x="118"/>
        <item m="1" x="451"/>
        <item m="1" x="469"/>
        <item m="1" x="313"/>
        <item m="1" x="43"/>
        <item m="1" x="83"/>
        <item m="1" x="131"/>
        <item m="1" x="521"/>
        <item m="1" x="147"/>
        <item m="1" x="522"/>
        <item m="1" x="76"/>
        <item m="1" x="386"/>
        <item m="1" x="561"/>
        <item m="1" x="392"/>
        <item m="1" x="94"/>
        <item m="1" x="539"/>
        <item m="1" x="119"/>
        <item m="1" x="415"/>
        <item m="1" x="280"/>
        <item m="1" x="202"/>
        <item m="1" x="471"/>
        <item m="1" x="114"/>
        <item m="1" x="548"/>
        <item m="1" x="375"/>
        <item m="1" x="96"/>
        <item m="1" x="265"/>
        <item m="1" x="25"/>
        <item m="1" x="134"/>
        <item m="1" x="276"/>
        <item m="1" x="9"/>
        <item m="1" x="330"/>
        <item m="1" x="33"/>
        <item m="1" x="200"/>
        <item m="1" x="554"/>
        <item m="1" x="28"/>
        <item m="1" x="14"/>
        <item m="1" x="65"/>
        <item m="1" x="236"/>
        <item m="1" x="41"/>
        <item m="1" x="183"/>
        <item m="1" x="534"/>
        <item m="1" x="60"/>
        <item m="1" x="227"/>
        <item m="1" x="410"/>
        <item m="1" x="507"/>
        <item m="1" x="351"/>
        <item m="1" x="454"/>
        <item m="1" x="508"/>
        <item m="1" x="323"/>
        <item m="1" x="425"/>
        <item m="1" x="401"/>
        <item m="1" x="511"/>
        <item m="1" x="397"/>
        <item m="1" x="320"/>
        <item m="1" x="370"/>
        <item m="1" x="363"/>
        <item m="1" x="315"/>
        <item m="1" x="385"/>
        <item m="1" x="63"/>
        <item m="1" x="194"/>
        <item m="1" x="283"/>
        <item m="1" x="412"/>
        <item m="1" x="544"/>
        <item m="1" x="68"/>
        <item m="1" x="97"/>
        <item m="1" x="190"/>
        <item m="1" x="95"/>
        <item m="1" x="61"/>
        <item m="1" x="180"/>
        <item m="1" x="193"/>
        <item m="1" x="278"/>
        <item m="1" x="384"/>
        <item m="1" x="391"/>
        <item m="1" x="556"/>
        <item m="1" x="152"/>
        <item m="1" x="464"/>
        <item m="1" x="529"/>
        <item m="1" x="82"/>
        <item m="1" x="258"/>
        <item m="1" x="345"/>
        <item m="1" x="512"/>
        <item m="1" x="317"/>
        <item m="1" x="210"/>
        <item m="1" x="455"/>
        <item m="1" x="468"/>
        <item m="1" x="419"/>
        <item m="1" x="282"/>
        <item m="1" x="536"/>
        <item m="1" x="154"/>
        <item m="1" x="432"/>
        <item m="1" x="480"/>
        <item m="1" x="205"/>
        <item m="1" x="146"/>
        <item m="1" x="319"/>
        <item m="1" x="51"/>
        <item m="1" x="414"/>
        <item m="1" x="240"/>
        <item m="1" x="260"/>
        <item m="1" x="568"/>
        <item m="1" x="467"/>
        <item m="1" x="524"/>
        <item m="1" x="376"/>
        <item m="1" x="166"/>
        <item m="1" x="514"/>
        <item m="1" x="434"/>
        <item m="1" x="558"/>
        <item m="1" x="535"/>
        <item m="1" x="124"/>
        <item m="1" x="173"/>
        <item m="1" x="85"/>
        <item m="1" x="418"/>
        <item m="1" x="93"/>
        <item m="1" x="423"/>
        <item m="1" x="245"/>
        <item m="1" x="490"/>
        <item m="1" x="238"/>
        <item m="1" x="18"/>
        <item m="1" x="261"/>
        <item m="1" x="486"/>
        <item m="1" x="274"/>
        <item m="1" x="510"/>
        <item m="1" x="102"/>
        <item m="1" x="348"/>
        <item m="1" x="350"/>
        <item m="1" x="295"/>
        <item m="1" x="555"/>
        <item m="1" x="299"/>
        <item m="1" x="111"/>
        <item m="1" x="551"/>
        <item m="1" x="208"/>
        <item m="1" x="213"/>
        <item m="1" x="472"/>
        <item m="1" x="302"/>
        <item m="1" x="437"/>
        <item m="1" x="332"/>
        <item m="1" x="542"/>
        <item m="1" x="523"/>
        <item m="1" x="550"/>
        <item m="1" x="291"/>
        <item m="1" x="248"/>
        <item m="1" x="101"/>
        <item m="1" x="252"/>
        <item m="1" x="356"/>
        <item m="1" x="473"/>
        <item m="1" x="381"/>
        <item m="1" x="446"/>
        <item m="1" x="192"/>
        <item m="1" x="296"/>
        <item m="1" x="331"/>
        <item m="1" x="499"/>
        <item m="1" x="126"/>
        <item m="1" x="513"/>
        <item m="1" x="253"/>
        <item m="1" x="272"/>
        <item m="1" x="106"/>
        <item m="1" x="515"/>
        <item m="1" x="431"/>
        <item m="1" x="251"/>
        <item m="1" x="170"/>
        <item m="1" x="223"/>
        <item m="1" x="50"/>
        <item m="1" x="316"/>
        <item m="1" x="10"/>
        <item m="1" x="546"/>
        <item m="1" x="484"/>
        <item m="1" x="241"/>
        <item m="1" x="24"/>
        <item m="1" x="406"/>
        <item m="1" x="527"/>
        <item m="1" x="504"/>
        <item m="1" x="547"/>
        <item m="1" x="500"/>
        <item m="1" x="264"/>
        <item m="1" x="533"/>
        <item m="1" x="497"/>
        <item m="1" x="17"/>
        <item m="1" x="244"/>
        <item m="1" x="16"/>
        <item m="1" x="364"/>
        <item m="1" x="191"/>
        <item m="1" x="178"/>
        <item m="1" x="74"/>
        <item m="1" x="286"/>
        <item m="1" x="366"/>
        <item m="1" x="525"/>
        <item m="1" x="186"/>
        <item m="1" x="411"/>
        <item m="1" x="498"/>
        <item m="1" x="333"/>
        <item m="1" x="185"/>
        <item m="1" x="181"/>
        <item m="1" x="540"/>
        <item m="1" x="519"/>
        <item m="1" x="390"/>
        <item m="1" x="89"/>
        <item m="1" x="39"/>
        <item m="1" x="396"/>
        <item m="1" x="421"/>
        <item m="1" x="271"/>
        <item m="1" x="365"/>
        <item m="1" x="388"/>
        <item m="1" x="84"/>
        <item m="1" x="90"/>
        <item m="1" x="256"/>
        <item m="1" x="318"/>
        <item m="1" x="235"/>
        <item m="1" x="109"/>
        <item m="1" x="448"/>
        <item m="1" x="301"/>
        <item m="1" x="489"/>
        <item m="1" x="503"/>
        <item m="1" x="150"/>
        <item m="1" x="99"/>
        <item m="1" x="441"/>
        <item m="1" x="127"/>
        <item m="1" x="382"/>
        <item m="1" x="475"/>
        <item m="1" x="327"/>
        <item m="1" x="338"/>
        <item m="1" x="456"/>
        <item m="1" x="453"/>
        <item m="1" x="516"/>
        <item m="1" x="409"/>
        <item m="1" x="383"/>
        <item m="1" x="509"/>
        <item m="1" x="135"/>
        <item m="1" x="130"/>
        <item m="1" x="367"/>
        <item m="1" x="34"/>
        <item m="1" x="162"/>
        <item m="1" x="120"/>
        <item m="1" x="104"/>
        <item m="1" x="167"/>
        <item m="1" x="195"/>
        <item m="1" x="86"/>
        <item m="1" x="377"/>
        <item m="1" x="110"/>
        <item m="1" x="369"/>
        <item m="1" x="137"/>
        <item m="1" x="113"/>
        <item m="1" x="176"/>
        <item m="1" x="92"/>
        <item m="1" x="174"/>
        <item m="1" x="112"/>
        <item m="1" x="37"/>
        <item m="1" x="506"/>
        <item m="1" x="439"/>
        <item m="1" x="48"/>
        <item m="1" x="81"/>
        <item m="1" x="545"/>
        <item m="1" x="15"/>
        <item m="1" x="483"/>
        <item m="1" x="357"/>
        <item m="1" x="281"/>
        <item m="1" x="216"/>
        <item m="1" x="559"/>
        <item m="1" x="459"/>
        <item m="1" x="277"/>
        <item m="1" x="233"/>
        <item m="1" x="52"/>
        <item m="1" x="187"/>
        <item m="1" x="262"/>
        <item m="1" x="53"/>
        <item m="1" x="528"/>
        <item m="1" x="20"/>
        <item m="1" x="477"/>
        <item m="1" x="275"/>
        <item m="1" x="493"/>
        <item m="1" x="289"/>
        <item m="1" x="303"/>
        <item m="1" x="255"/>
        <item m="1" x="206"/>
        <item m="1" x="158"/>
        <item m="1" x="354"/>
        <item m="1" x="368"/>
        <item m="1" x="403"/>
        <item m="1" x="23"/>
        <item m="1" x="105"/>
        <item m="1" x="310"/>
        <item m="1" x="88"/>
        <item m="1" x="329"/>
        <item m="1" x="466"/>
        <item m="1" x="269"/>
        <item m="1" x="359"/>
        <item m="1" x="426"/>
        <item m="1" x="122"/>
        <item m="1" x="494"/>
        <item m="1" x="571"/>
        <item m="1" x="257"/>
        <item m="1" x="160"/>
        <item m="1" x="47"/>
        <item m="1" x="224"/>
        <item m="1" x="321"/>
        <item m="1" x="55"/>
        <item m="1" x="452"/>
        <item m="1" x="156"/>
        <item m="1" x="407"/>
        <item m="1" x="566"/>
        <item m="1" x="27"/>
        <item m="1" x="267"/>
        <item m="1" x="312"/>
        <item m="1" x="164"/>
        <item m="1" x="541"/>
        <item m="1" x="394"/>
        <item m="1" x="300"/>
        <item m="1" x="470"/>
        <item m="1" x="38"/>
        <item m="1" x="169"/>
        <item m="1" x="532"/>
        <item m="1" x="373"/>
        <item m="1" x="463"/>
        <item m="1" x="217"/>
        <item m="1" x="29"/>
        <item m="1" x="496"/>
        <item m="1" x="268"/>
        <item m="1" x="387"/>
        <item m="1" x="358"/>
        <item m="1" x="346"/>
        <item m="1" x="75"/>
        <item m="1" x="140"/>
        <item m="1" x="430"/>
        <item m="1" x="177"/>
        <item m="1" x="138"/>
        <item m="1" x="284"/>
        <item m="1" x="270"/>
        <item m="1" x="355"/>
        <item m="1" x="151"/>
        <item m="1" x="67"/>
        <item m="1" x="175"/>
        <item m="1" x="100"/>
        <item m="1" x="273"/>
        <item m="1" x="209"/>
        <item m="1" x="449"/>
        <item m="1" x="171"/>
        <item m="1" x="438"/>
        <item m="1" x="198"/>
        <item m="1" x="139"/>
        <item m="1" x="36"/>
        <item m="1" x="21"/>
        <item m="1" x="225"/>
        <item m="1" x="247"/>
        <item m="1" x="478"/>
        <item m="1" x="204"/>
        <item m="1" x="211"/>
        <item m="1" x="91"/>
        <item m="1" x="71"/>
        <item m="1" x="343"/>
        <item m="1" x="226"/>
        <item m="1" x="56"/>
        <item m="1" x="537"/>
        <item m="1" x="254"/>
        <item m="1" x="479"/>
        <item m="1" x="447"/>
        <item m="1" x="117"/>
        <item m="1" x="487"/>
        <item m="1" x="342"/>
        <item m="1" x="22"/>
        <item m="1" x="444"/>
        <item m="1" x="230"/>
        <item m="1" x="229"/>
        <item m="1" x="214"/>
        <item m="1" x="285"/>
        <item m="1" x="108"/>
        <item m="1" x="259"/>
        <item m="1" x="35"/>
        <item m="1" x="461"/>
        <item m="1" x="42"/>
        <item m="1" x="517"/>
        <item m="1" x="398"/>
        <item m="1" x="231"/>
        <item m="1" x="531"/>
        <item m="1" x="443"/>
        <item m="1" x="372"/>
        <item m="1" x="328"/>
        <item m="1" x="103"/>
        <item m="1" x="58"/>
        <item m="1" x="232"/>
        <item m="1" x="298"/>
        <item m="1" x="279"/>
        <item m="1" x="54"/>
        <item m="1" x="222"/>
        <item m="1" x="172"/>
        <item m="1" x="73"/>
        <item m="1" x="465"/>
        <item m="1" x="182"/>
        <item m="1" x="237"/>
        <item m="1" x="62"/>
        <item m="1" x="246"/>
        <item m="1" x="569"/>
        <item m="1" x="306"/>
        <item m="1" x="148"/>
        <item m="1" x="13"/>
        <item m="1" x="413"/>
        <item m="1" x="116"/>
        <item m="1" x="44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6"/>
  </rowFields>
  <rowItems count="11">
    <i>
      <x v="1"/>
      <x v="6"/>
    </i>
    <i r="1">
      <x v="83"/>
    </i>
    <i>
      <x v="2"/>
      <x v="6"/>
    </i>
    <i>
      <x v="4"/>
      <x v="2"/>
    </i>
    <i r="1">
      <x v="17"/>
    </i>
    <i r="1">
      <x v="44"/>
    </i>
    <i r="1">
      <x v="57"/>
    </i>
    <i r="1">
      <x v="83"/>
    </i>
    <i>
      <x v="6"/>
      <x v="5"/>
    </i>
    <i>
      <x v="8"/>
      <x v="4"/>
    </i>
    <i t="grand">
      <x/>
    </i>
  </rowItems>
  <colItems count="1">
    <i/>
  </colItems>
  <dataFields count="1">
    <dataField name="Remolcadores" fld="0" subtotal="count" baseField="0" baseItem="0"/>
  </dataFields>
  <formats count="27">
    <format dxfId="3056">
      <pivotArea type="all" dataOnly="0" outline="0" fieldPosition="0"/>
    </format>
    <format dxfId="3055">
      <pivotArea dataOnly="0" labelOnly="1" outline="0" fieldPosition="0">
        <references count="1">
          <reference field="1" count="0"/>
        </references>
      </pivotArea>
    </format>
    <format dxfId="3054">
      <pivotArea dataOnly="0" labelOnly="1" outline="0" fieldPosition="0">
        <references count="1">
          <reference field="1" count="0" defaultSubtotal="1"/>
        </references>
      </pivotArea>
    </format>
    <format dxfId="3053">
      <pivotArea dataOnly="0" labelOnly="1" grandRow="1" outline="0" fieldPosition="0"/>
    </format>
    <format dxfId="3052">
      <pivotArea field="1" type="button" dataOnly="0" labelOnly="1" outline="0" axis="axisRow" fieldPosition="0"/>
    </format>
    <format dxfId="3051">
      <pivotArea dataOnly="0" labelOnly="1" outline="0" fieldPosition="0">
        <references count="1">
          <reference field="1" count="1">
            <x v="1"/>
          </reference>
        </references>
      </pivotArea>
    </format>
    <format dxfId="3050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49">
      <pivotArea dataOnly="0" labelOnly="1" outline="0" fieldPosition="0">
        <references count="1">
          <reference field="1" count="1">
            <x v="3"/>
          </reference>
        </references>
      </pivotArea>
    </format>
    <format dxfId="3048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3047">
      <pivotArea dataOnly="0" labelOnly="1" outline="0" fieldPosition="0">
        <references count="1">
          <reference field="1" count="1">
            <x v="5"/>
          </reference>
        </references>
      </pivotArea>
    </format>
    <format dxfId="3046">
      <pivotArea dataOnly="0" labelOnly="1" outline="0" fieldPosition="0">
        <references count="1">
          <reference field="1" count="1" defaultSubtotal="1">
            <x v="5"/>
          </reference>
        </references>
      </pivotArea>
    </format>
    <format dxfId="3045">
      <pivotArea dataOnly="0" labelOnly="1" outline="0" fieldPosition="0">
        <references count="1">
          <reference field="1" count="1">
            <x v="4"/>
          </reference>
        </references>
      </pivotArea>
    </format>
    <format dxfId="3044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3043">
      <pivotArea dataOnly="0" labelOnly="1" outline="0" fieldPosition="0">
        <references count="1">
          <reference field="1" count="1">
            <x v="6"/>
          </reference>
        </references>
      </pivotArea>
    </format>
    <format dxfId="3042">
      <pivotArea dataOnly="0" labelOnly="1" outline="0" fieldPosition="0">
        <references count="1">
          <reference field="1" count="1" defaultSubtotal="1">
            <x v="6"/>
          </reference>
        </references>
      </pivotArea>
    </format>
    <format dxfId="3041">
      <pivotArea dataOnly="0" labelOnly="1" grandRow="1" outline="0" fieldPosition="0"/>
    </format>
    <format dxfId="3040">
      <pivotArea dataOnly="0" labelOnly="1" outline="0" fieldPosition="0">
        <references count="1">
          <reference field="1" count="0"/>
        </references>
      </pivotArea>
    </format>
    <format dxfId="3039">
      <pivotArea dataOnly="0" labelOnly="1" outline="0" fieldPosition="0">
        <references count="1">
          <reference field="1" count="0" defaultSubtotal="1"/>
        </references>
      </pivotArea>
    </format>
    <format dxfId="3038">
      <pivotArea dataOnly="0" labelOnly="1" grandRow="1" outline="0" fieldPosition="0"/>
    </format>
    <format dxfId="3037">
      <pivotArea outline="0" collapsedLevelsAreSubtotals="1" fieldPosition="0"/>
    </format>
    <format dxfId="3036">
      <pivotArea type="all" dataOnly="0" outline="0" fieldPosition="0"/>
    </format>
    <format dxfId="3035">
      <pivotArea field="1" type="button" dataOnly="0" labelOnly="1" outline="0" axis="axisRow" fieldPosition="0"/>
    </format>
    <format dxfId="3034">
      <pivotArea dataOnly="0" labelOnly="1" outline="0" fieldPosition="0">
        <references count="1">
          <reference field="1" count="0"/>
        </references>
      </pivotArea>
    </format>
    <format dxfId="3033">
      <pivotArea dataOnly="0" labelOnly="1" grandRow="1" outline="0" fieldPosition="0"/>
    </format>
    <format dxfId="3032">
      <pivotArea field="1" type="button" dataOnly="0" labelOnly="1" outline="0" axis="axisRow" fieldPosition="0"/>
    </format>
    <format dxfId="3031">
      <pivotArea dataOnly="0" labelOnly="1" outline="0" fieldPosition="0">
        <references count="1">
          <reference field="1" count="0"/>
        </references>
      </pivotArea>
    </format>
    <format dxfId="3030">
      <pivotArea dataOnly="0" labelOnly="1" grandRow="1" outline="0" fieldPosition="0"/>
    </format>
  </formats>
  <chartFormats count="1">
    <chartFormat chart="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47" applyNumberFormats="0" applyBorderFormats="0" applyFontFormats="0" applyPatternFormats="0" applyAlignmentFormats="0" applyWidthHeightFormats="1" dataCaption="Valores" grandTotalCaption="Total Remolcadores=&gt;" updatedVersion="6" minRefreshableVersion="3" itemPrintTitles="1" mergeItem="1" createdVersion="4" indent="0" compact="0" compactData="0" multipleFieldFilters="0" chartFormat="3353">
  <location ref="P6:Q12" firstHeaderRow="1" firstDataRow="1" firstDataCol="1"/>
  <pivotFields count="21">
    <pivotField dataField="1" compact="0" outline="0" showAll="0" defaultSubtotal="0"/>
    <pivotField axis="axisRow" compact="0" outline="0" showAll="0" defaultSubtotal="0">
      <items count="10">
        <item m="1" x="9"/>
        <item x="4"/>
        <item x="3"/>
        <item m="1" x="8"/>
        <item x="0"/>
        <item m="1" x="7"/>
        <item x="1"/>
        <item m="1" x="6"/>
        <item x="2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6">
    <i>
      <x v="1"/>
    </i>
    <i>
      <x v="2"/>
    </i>
    <i>
      <x v="4"/>
    </i>
    <i>
      <x v="6"/>
    </i>
    <i>
      <x v="8"/>
    </i>
    <i t="grand">
      <x/>
    </i>
  </rowItems>
  <colItems count="1">
    <i/>
  </colItems>
  <dataFields count="1">
    <dataField name="Remolcadores" fld="0" subtotal="count" baseField="0" baseItem="0"/>
  </dataFields>
  <formats count="27">
    <format dxfId="3083">
      <pivotArea type="all" dataOnly="0" outline="0" fieldPosition="0"/>
    </format>
    <format dxfId="3082">
      <pivotArea dataOnly="0" labelOnly="1" outline="0" fieldPosition="0">
        <references count="1">
          <reference field="1" count="0"/>
        </references>
      </pivotArea>
    </format>
    <format dxfId="3081">
      <pivotArea dataOnly="0" labelOnly="1" outline="0" fieldPosition="0">
        <references count="1">
          <reference field="1" count="0" defaultSubtotal="1"/>
        </references>
      </pivotArea>
    </format>
    <format dxfId="3080">
      <pivotArea dataOnly="0" labelOnly="1" grandRow="1" outline="0" fieldPosition="0"/>
    </format>
    <format dxfId="3079">
      <pivotArea field="1" type="button" dataOnly="0" labelOnly="1" outline="0" axis="axisRow" fieldPosition="0"/>
    </format>
    <format dxfId="3078">
      <pivotArea dataOnly="0" labelOnly="1" outline="0" fieldPosition="0">
        <references count="1">
          <reference field="1" count="1">
            <x v="1"/>
          </reference>
        </references>
      </pivotArea>
    </format>
    <format dxfId="3077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076">
      <pivotArea dataOnly="0" labelOnly="1" outline="0" fieldPosition="0">
        <references count="1">
          <reference field="1" count="1">
            <x v="3"/>
          </reference>
        </references>
      </pivotArea>
    </format>
    <format dxfId="3075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3074">
      <pivotArea dataOnly="0" labelOnly="1" outline="0" fieldPosition="0">
        <references count="1">
          <reference field="1" count="1">
            <x v="5"/>
          </reference>
        </references>
      </pivotArea>
    </format>
    <format dxfId="3073">
      <pivotArea dataOnly="0" labelOnly="1" outline="0" fieldPosition="0">
        <references count="1">
          <reference field="1" count="1" defaultSubtotal="1">
            <x v="5"/>
          </reference>
        </references>
      </pivotArea>
    </format>
    <format dxfId="3072">
      <pivotArea dataOnly="0" labelOnly="1" outline="0" fieldPosition="0">
        <references count="1">
          <reference field="1" count="1">
            <x v="4"/>
          </reference>
        </references>
      </pivotArea>
    </format>
    <format dxfId="3071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3070">
      <pivotArea dataOnly="0" labelOnly="1" outline="0" fieldPosition="0">
        <references count="1">
          <reference field="1" count="1">
            <x v="6"/>
          </reference>
        </references>
      </pivotArea>
    </format>
    <format dxfId="3069">
      <pivotArea dataOnly="0" labelOnly="1" outline="0" fieldPosition="0">
        <references count="1">
          <reference field="1" count="1" defaultSubtotal="1">
            <x v="6"/>
          </reference>
        </references>
      </pivotArea>
    </format>
    <format dxfId="3068">
      <pivotArea dataOnly="0" labelOnly="1" grandRow="1" outline="0" fieldPosition="0"/>
    </format>
    <format dxfId="3067">
      <pivotArea dataOnly="0" labelOnly="1" outline="0" fieldPosition="0">
        <references count="1">
          <reference field="1" count="0"/>
        </references>
      </pivotArea>
    </format>
    <format dxfId="3066">
      <pivotArea dataOnly="0" labelOnly="1" outline="0" fieldPosition="0">
        <references count="1">
          <reference field="1" count="0" defaultSubtotal="1"/>
        </references>
      </pivotArea>
    </format>
    <format dxfId="3065">
      <pivotArea dataOnly="0" labelOnly="1" grandRow="1" outline="0" fieldPosition="0"/>
    </format>
    <format dxfId="3064">
      <pivotArea outline="0" collapsedLevelsAreSubtotals="1" fieldPosition="0"/>
    </format>
    <format dxfId="3063">
      <pivotArea type="all" dataOnly="0" outline="0" fieldPosition="0"/>
    </format>
    <format dxfId="3062">
      <pivotArea field="1" type="button" dataOnly="0" labelOnly="1" outline="0" axis="axisRow" fieldPosition="0"/>
    </format>
    <format dxfId="3061">
      <pivotArea dataOnly="0" labelOnly="1" outline="0" fieldPosition="0">
        <references count="1">
          <reference field="1" count="0"/>
        </references>
      </pivotArea>
    </format>
    <format dxfId="3060">
      <pivotArea dataOnly="0" labelOnly="1" grandRow="1" outline="0" fieldPosition="0"/>
    </format>
    <format dxfId="3059">
      <pivotArea field="1" type="button" dataOnly="0" labelOnly="1" outline="0" axis="axisRow" fieldPosition="0"/>
    </format>
    <format dxfId="3058">
      <pivotArea dataOnly="0" labelOnly="1" outline="0" fieldPosition="0">
        <references count="1">
          <reference field="1" count="0"/>
        </references>
      </pivotArea>
    </format>
    <format dxfId="3057">
      <pivotArea dataOnly="0" labelOnly="1" grandRow="1" outline="0" fieldPosition="0"/>
    </format>
  </formats>
  <chartFormats count="840">
    <chartFormat chart="1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7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7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2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7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6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5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7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1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8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5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9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9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0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3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3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4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4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2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2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3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3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6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0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1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1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1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1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3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3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4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5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5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6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6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7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7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9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9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0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0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1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2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3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3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9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9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2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7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9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9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9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9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0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0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0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0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1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2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3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3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5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5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6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6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7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7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7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7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9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9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1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1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3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5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6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6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7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7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7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7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8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8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8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9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9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1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1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2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2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2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2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4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5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5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6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6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6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6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8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8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8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8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1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1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6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6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7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7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8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8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8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9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9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9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9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2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2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2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2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2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3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3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3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3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4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4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4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4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4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4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7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8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8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9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9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2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2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2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2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2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2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3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4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5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5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5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7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7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7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8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8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8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0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0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0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0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0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1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2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2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2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2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2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3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3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3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3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5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6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6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7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7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7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8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0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6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6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6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6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7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7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8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8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9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9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9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9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1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1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1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1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3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3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5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5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6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6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8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8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9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9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0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0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1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1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1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1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2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2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2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2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2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3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3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3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4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5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5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5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5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5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0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0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0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0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1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1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2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2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3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3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5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5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6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6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1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2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2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3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3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3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3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4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4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4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4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4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5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5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5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5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5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6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6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8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8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9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9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1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2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2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2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3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3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3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3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4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4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4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4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5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5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5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5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5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6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6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7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7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9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0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0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0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3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3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3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3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4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4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4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4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4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5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5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5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6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6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7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7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8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8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1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1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2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2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2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2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2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4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4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4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4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5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5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6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7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8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8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8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0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0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0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0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1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1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2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2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2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3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3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3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3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4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4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5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6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7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7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7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7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8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8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8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8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9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9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9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9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9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9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0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0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0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1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1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1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1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1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2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2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3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3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3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4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4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6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6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7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7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8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8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9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9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1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1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2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2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4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4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6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6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7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7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8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8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9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9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1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1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2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2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2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2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3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3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3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3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4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4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4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4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5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5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6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6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8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8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8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8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89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90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92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93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0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0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0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04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0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0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1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1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3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3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3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3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6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6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7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7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7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7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88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9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9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98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99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0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0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1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1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15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2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2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45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46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146"/>
  <sheetViews>
    <sheetView showGridLines="0" tabSelected="1" zoomScale="80" zoomScaleNormal="80" workbookViewId="0">
      <selection activeCell="E21" sqref="E21"/>
    </sheetView>
  </sheetViews>
  <sheetFormatPr baseColWidth="10" defaultColWidth="11.44140625" defaultRowHeight="14.4" x14ac:dyDescent="0.3"/>
  <cols>
    <col min="1" max="1" width="22.109375" style="1" customWidth="1"/>
    <col min="2" max="2" width="4.44140625" style="1" hidden="1" customWidth="1"/>
    <col min="3" max="3" width="17.33203125" style="15" bestFit="1" customWidth="1"/>
    <col min="4" max="4" width="17.6640625" style="2" customWidth="1"/>
    <col min="5" max="5" width="64.5546875" style="2" bestFit="1" customWidth="1"/>
    <col min="6" max="6" width="57" style="2" customWidth="1"/>
    <col min="7" max="7" width="25.33203125" style="2" customWidth="1"/>
    <col min="8" max="8" width="15.88671875" style="2" customWidth="1"/>
    <col min="9" max="9" width="8.109375" style="2" customWidth="1"/>
    <col min="10" max="10" width="14.44140625" style="2" customWidth="1"/>
    <col min="11" max="11" width="22.44140625" style="1" customWidth="1"/>
    <col min="12" max="15" width="11.44140625" style="1"/>
    <col min="16" max="16" width="27.21875" style="1" bestFit="1" customWidth="1"/>
    <col min="17" max="17" width="17.6640625" style="1" bestFit="1" customWidth="1"/>
    <col min="18" max="16384" width="11.44140625" style="1"/>
  </cols>
  <sheetData>
    <row r="1" spans="3:18" x14ac:dyDescent="0.3">
      <c r="I1" s="23"/>
    </row>
    <row r="2" spans="3:18" x14ac:dyDescent="0.3">
      <c r="C2" s="69" t="str">
        <f ca="1">"Avance operativo fluvial "&amp;(TEXT(Actual!B1,"mmmm dd/yyy"))&amp;" "&amp;(TEXT(Actual!B2,"HH:MM"))</f>
        <v>Avance operativo fluvial febrero 24/2022 18:00</v>
      </c>
      <c r="D2" s="69"/>
      <c r="E2" s="69"/>
    </row>
    <row r="3" spans="3:18" x14ac:dyDescent="0.3">
      <c r="C3" s="17"/>
      <c r="D3" s="17"/>
      <c r="E3" s="17"/>
    </row>
    <row r="4" spans="3:18" x14ac:dyDescent="0.3">
      <c r="C4" s="69" t="s">
        <v>0</v>
      </c>
      <c r="D4" s="69"/>
      <c r="E4" s="17"/>
    </row>
    <row r="5" spans="3:18" x14ac:dyDescent="0.3">
      <c r="C5" s="16"/>
    </row>
    <row r="6" spans="3:18" x14ac:dyDescent="0.3">
      <c r="D6" s="12" t="s">
        <v>1</v>
      </c>
      <c r="E6" s="13" t="s">
        <v>2</v>
      </c>
      <c r="F6" s="61" t="s">
        <v>3</v>
      </c>
      <c r="P6" s="12" t="s">
        <v>1</v>
      </c>
      <c r="Q6" s="61" t="s">
        <v>3</v>
      </c>
      <c r="R6"/>
    </row>
    <row r="7" spans="3:18" x14ac:dyDescent="0.3">
      <c r="D7" s="70" t="s">
        <v>5</v>
      </c>
      <c r="E7" s="61" t="s">
        <v>80</v>
      </c>
      <c r="F7" s="3">
        <v>1</v>
      </c>
      <c r="P7" s="66" t="s">
        <v>5</v>
      </c>
      <c r="Q7" s="3">
        <v>2</v>
      </c>
      <c r="R7"/>
    </row>
    <row r="8" spans="3:18" x14ac:dyDescent="0.3">
      <c r="D8" s="70"/>
      <c r="E8" s="61" t="s">
        <v>69</v>
      </c>
      <c r="F8" s="3">
        <v>1</v>
      </c>
      <c r="P8" s="61" t="s">
        <v>61</v>
      </c>
      <c r="Q8" s="3">
        <v>2</v>
      </c>
      <c r="R8"/>
    </row>
    <row r="9" spans="3:18" x14ac:dyDescent="0.3">
      <c r="D9" s="61" t="s">
        <v>61</v>
      </c>
      <c r="E9" s="61" t="s">
        <v>80</v>
      </c>
      <c r="F9" s="3">
        <v>2</v>
      </c>
      <c r="P9" s="66" t="s">
        <v>8</v>
      </c>
      <c r="Q9" s="3">
        <v>8</v>
      </c>
      <c r="R9"/>
    </row>
    <row r="10" spans="3:18" x14ac:dyDescent="0.3">
      <c r="D10" s="70" t="s">
        <v>8</v>
      </c>
      <c r="E10" s="61" t="s">
        <v>66</v>
      </c>
      <c r="F10" s="3">
        <v>1</v>
      </c>
      <c r="P10" s="66" t="s">
        <v>9</v>
      </c>
      <c r="Q10" s="3">
        <v>1</v>
      </c>
      <c r="R10"/>
    </row>
    <row r="11" spans="3:18" x14ac:dyDescent="0.3">
      <c r="D11" s="70"/>
      <c r="E11" s="61" t="s">
        <v>67</v>
      </c>
      <c r="F11" s="3">
        <v>1</v>
      </c>
      <c r="P11" s="61" t="s">
        <v>10</v>
      </c>
      <c r="Q11" s="3">
        <v>4</v>
      </c>
      <c r="R11"/>
    </row>
    <row r="12" spans="3:18" x14ac:dyDescent="0.3">
      <c r="D12" s="70"/>
      <c r="E12" s="61" t="s">
        <v>90</v>
      </c>
      <c r="F12" s="3">
        <v>1</v>
      </c>
      <c r="P12" s="66" t="s">
        <v>11</v>
      </c>
      <c r="Q12" s="3">
        <v>17</v>
      </c>
      <c r="R12"/>
    </row>
    <row r="13" spans="3:18" x14ac:dyDescent="0.3">
      <c r="D13" s="70"/>
      <c r="E13" s="61" t="s">
        <v>74</v>
      </c>
      <c r="F13" s="3">
        <v>3</v>
      </c>
      <c r="P13"/>
      <c r="Q13"/>
      <c r="R13"/>
    </row>
    <row r="14" spans="3:18" x14ac:dyDescent="0.3">
      <c r="D14" s="70"/>
      <c r="E14" s="61" t="s">
        <v>69</v>
      </c>
      <c r="F14" s="3">
        <v>2</v>
      </c>
      <c r="P14"/>
      <c r="Q14"/>
      <c r="R14"/>
    </row>
    <row r="15" spans="3:18" x14ac:dyDescent="0.3">
      <c r="D15" s="66" t="s">
        <v>9</v>
      </c>
      <c r="E15" s="61" t="s">
        <v>9</v>
      </c>
      <c r="F15" s="3">
        <v>1</v>
      </c>
      <c r="P15"/>
      <c r="Q15"/>
      <c r="R15"/>
    </row>
    <row r="16" spans="3:18" x14ac:dyDescent="0.3">
      <c r="D16" s="61" t="s">
        <v>10</v>
      </c>
      <c r="E16" s="61" t="s">
        <v>10</v>
      </c>
      <c r="F16" s="3">
        <v>4</v>
      </c>
      <c r="P16"/>
      <c r="Q16"/>
      <c r="R16"/>
    </row>
    <row r="17" spans="1:18" ht="28.8" x14ac:dyDescent="0.3">
      <c r="D17" s="70" t="s">
        <v>11</v>
      </c>
      <c r="E17" s="70"/>
      <c r="F17" s="3">
        <v>17</v>
      </c>
      <c r="P17"/>
      <c r="Q17"/>
      <c r="R17"/>
    </row>
    <row r="18" spans="1:18" x14ac:dyDescent="0.3">
      <c r="D18"/>
      <c r="E18"/>
      <c r="F18"/>
      <c r="P18"/>
      <c r="Q18"/>
      <c r="R18"/>
    </row>
    <row r="19" spans="1:18" x14ac:dyDescent="0.3">
      <c r="D19"/>
      <c r="E19"/>
      <c r="F19"/>
      <c r="P19"/>
      <c r="Q19"/>
      <c r="R19"/>
    </row>
    <row r="20" spans="1:18" ht="15" customHeight="1" x14ac:dyDescent="0.3">
      <c r="D20"/>
      <c r="E20"/>
      <c r="F20"/>
      <c r="P20"/>
      <c r="Q20"/>
      <c r="R20"/>
    </row>
    <row r="21" spans="1:18" x14ac:dyDescent="0.3">
      <c r="C21"/>
      <c r="D21"/>
      <c r="E21"/>
      <c r="F21"/>
      <c r="P21"/>
      <c r="Q21"/>
      <c r="R21"/>
    </row>
    <row r="22" spans="1:18" x14ac:dyDescent="0.3">
      <c r="D22"/>
      <c r="E22"/>
      <c r="F22"/>
      <c r="P22"/>
      <c r="Q22"/>
      <c r="R22"/>
    </row>
    <row r="23" spans="1:18" x14ac:dyDescent="0.3">
      <c r="C23" s="6"/>
      <c r="D23"/>
      <c r="E23"/>
      <c r="F23"/>
      <c r="G23" s="18"/>
    </row>
    <row r="25" spans="1:18" ht="15" customHeight="1" x14ac:dyDescent="0.3">
      <c r="A25" s="69" t="s">
        <v>12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</row>
    <row r="26" spans="1:18" s="19" customFormat="1" x14ac:dyDescent="0.3"/>
    <row r="27" spans="1:18" s="19" customFormat="1" ht="43.2" x14ac:dyDescent="0.3">
      <c r="A27" s="13" t="s">
        <v>1</v>
      </c>
      <c r="B27" s="13" t="s">
        <v>13</v>
      </c>
      <c r="C27" s="13" t="s">
        <v>20</v>
      </c>
      <c r="D27" s="13" t="s">
        <v>14</v>
      </c>
      <c r="E27" s="13" t="s">
        <v>15</v>
      </c>
      <c r="F27" s="13" t="s">
        <v>16</v>
      </c>
      <c r="G27" s="13" t="s">
        <v>17</v>
      </c>
      <c r="H27" s="13" t="s">
        <v>78</v>
      </c>
      <c r="I27" s="24" t="s">
        <v>84</v>
      </c>
      <c r="J27" s="13" t="s">
        <v>19</v>
      </c>
      <c r="K27" s="13" t="s">
        <v>18</v>
      </c>
    </row>
    <row r="28" spans="1:18" s="19" customFormat="1" ht="15" customHeight="1" x14ac:dyDescent="0.3">
      <c r="A28" s="21" t="s">
        <v>5</v>
      </c>
      <c r="B28" s="21"/>
      <c r="C28" s="21"/>
      <c r="D28" s="21"/>
      <c r="E28" s="21"/>
      <c r="F28" s="21"/>
      <c r="G28" s="21"/>
      <c r="H28" s="21"/>
      <c r="I28" s="21"/>
      <c r="J28" s="21"/>
      <c r="K28" s="21"/>
    </row>
    <row r="29" spans="1:18" s="19" customFormat="1" x14ac:dyDescent="0.3">
      <c r="A29" s="21"/>
      <c r="B29" s="21">
        <v>24</v>
      </c>
      <c r="C29" s="21" t="s">
        <v>96</v>
      </c>
      <c r="D29" s="21" t="s">
        <v>33</v>
      </c>
      <c r="E29" s="21" t="s">
        <v>80</v>
      </c>
      <c r="F29" s="21"/>
      <c r="G29" s="21"/>
      <c r="H29" s="21"/>
      <c r="I29" s="21"/>
      <c r="J29" s="21"/>
      <c r="K29" s="21"/>
    </row>
    <row r="30" spans="1:18" s="19" customFormat="1" x14ac:dyDescent="0.3">
      <c r="A30" s="21"/>
      <c r="B30" s="21"/>
      <c r="C30" s="21"/>
      <c r="D30" s="21"/>
      <c r="E30" s="61"/>
      <c r="F30" s="21" t="s">
        <v>91</v>
      </c>
      <c r="G30" s="21" t="s">
        <v>75</v>
      </c>
      <c r="H30" s="21" t="s">
        <v>70</v>
      </c>
      <c r="I30" s="21">
        <v>10</v>
      </c>
      <c r="J30" s="21" t="s">
        <v>24</v>
      </c>
      <c r="K30" s="21" t="s">
        <v>93</v>
      </c>
    </row>
    <row r="31" spans="1:18" s="19" customFormat="1" x14ac:dyDescent="0.3">
      <c r="A31" s="21"/>
      <c r="B31" s="21">
        <v>121</v>
      </c>
      <c r="C31" s="21" t="s">
        <v>97</v>
      </c>
      <c r="D31" s="21" t="s">
        <v>23</v>
      </c>
      <c r="E31" s="21" t="s">
        <v>69</v>
      </c>
      <c r="F31" s="21"/>
      <c r="G31" s="21"/>
      <c r="H31" s="21"/>
      <c r="I31" s="21"/>
      <c r="J31" s="21"/>
      <c r="K31" s="21"/>
    </row>
    <row r="32" spans="1:18" s="19" customFormat="1" x14ac:dyDescent="0.3">
      <c r="A32" s="21"/>
      <c r="B32" s="21"/>
      <c r="C32" s="21"/>
      <c r="D32" s="21"/>
      <c r="E32" s="61"/>
      <c r="F32" s="21" t="s">
        <v>95</v>
      </c>
      <c r="G32" s="21" t="s">
        <v>72</v>
      </c>
      <c r="H32" s="21"/>
      <c r="I32" s="21"/>
      <c r="J32" s="21" t="s">
        <v>24</v>
      </c>
      <c r="K32" s="21" t="s">
        <v>103</v>
      </c>
    </row>
    <row r="33" spans="1:11" s="19" customFormat="1" x14ac:dyDescent="0.3">
      <c r="A33" s="21" t="s">
        <v>8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</row>
    <row r="34" spans="1:11" s="19" customFormat="1" x14ac:dyDescent="0.3">
      <c r="A34" s="21"/>
      <c r="B34" s="21">
        <v>0</v>
      </c>
      <c r="C34" s="21"/>
      <c r="D34" s="21" t="s">
        <v>22</v>
      </c>
      <c r="E34" s="21" t="s">
        <v>69</v>
      </c>
      <c r="F34" s="21"/>
      <c r="G34" s="21"/>
      <c r="H34" s="21"/>
      <c r="I34" s="21"/>
      <c r="J34" s="21"/>
      <c r="K34" s="21"/>
    </row>
    <row r="35" spans="1:11" s="19" customFormat="1" x14ac:dyDescent="0.3">
      <c r="A35" s="21"/>
      <c r="B35" s="21"/>
      <c r="C35" s="21"/>
      <c r="D35" s="21"/>
      <c r="E35" s="61"/>
      <c r="F35" s="21"/>
      <c r="G35" s="21" t="s">
        <v>71</v>
      </c>
      <c r="H35" s="21"/>
      <c r="I35" s="21"/>
      <c r="J35" s="21"/>
      <c r="K35" s="21"/>
    </row>
    <row r="36" spans="1:11" s="19" customFormat="1" x14ac:dyDescent="0.3">
      <c r="A36" s="21"/>
      <c r="B36" s="21"/>
      <c r="C36" s="21"/>
      <c r="D36" s="21" t="s">
        <v>21</v>
      </c>
      <c r="E36" s="21" t="s">
        <v>67</v>
      </c>
      <c r="F36" s="21"/>
      <c r="G36" s="21"/>
      <c r="H36" s="21"/>
      <c r="I36" s="21"/>
      <c r="J36" s="21"/>
      <c r="K36" s="21"/>
    </row>
    <row r="37" spans="1:11" s="19" customFormat="1" x14ac:dyDescent="0.3">
      <c r="A37" s="21"/>
      <c r="B37" s="21"/>
      <c r="C37" s="21"/>
      <c r="D37" s="21"/>
      <c r="E37" s="61"/>
      <c r="F37" s="21"/>
      <c r="G37" s="21" t="s">
        <v>71</v>
      </c>
      <c r="H37" s="21"/>
      <c r="I37" s="21"/>
      <c r="J37" s="21"/>
      <c r="K37" s="21"/>
    </row>
    <row r="38" spans="1:11" s="19" customFormat="1" x14ac:dyDescent="0.3">
      <c r="A38" s="21"/>
      <c r="B38" s="21"/>
      <c r="C38" s="21"/>
      <c r="D38" s="21" t="s">
        <v>28</v>
      </c>
      <c r="E38" s="21" t="s">
        <v>66</v>
      </c>
      <c r="F38" s="21"/>
      <c r="G38" s="21"/>
      <c r="H38" s="21"/>
      <c r="I38" s="21"/>
      <c r="J38" s="21"/>
      <c r="K38" s="21"/>
    </row>
    <row r="39" spans="1:11" s="19" customFormat="1" x14ac:dyDescent="0.3">
      <c r="A39" s="21"/>
      <c r="B39" s="21"/>
      <c r="C39" s="21"/>
      <c r="D39" s="21"/>
      <c r="E39" s="61"/>
      <c r="F39" s="21"/>
      <c r="G39" s="21" t="s">
        <v>58</v>
      </c>
      <c r="H39" s="21"/>
      <c r="I39" s="21"/>
      <c r="J39" s="21"/>
      <c r="K39" s="21"/>
    </row>
    <row r="40" spans="1:11" s="19" customFormat="1" x14ac:dyDescent="0.3">
      <c r="A40" s="21"/>
      <c r="B40" s="21"/>
      <c r="C40" s="21"/>
      <c r="D40" s="21" t="s">
        <v>36</v>
      </c>
      <c r="E40" s="21" t="s">
        <v>90</v>
      </c>
      <c r="F40" s="21"/>
      <c r="G40" s="21"/>
      <c r="H40" s="21"/>
      <c r="I40" s="21"/>
      <c r="J40" s="21"/>
      <c r="K40" s="21"/>
    </row>
    <row r="41" spans="1:11" s="19" customFormat="1" x14ac:dyDescent="0.3">
      <c r="A41" s="21"/>
      <c r="B41" s="21"/>
      <c r="C41" s="21"/>
      <c r="D41" s="21"/>
      <c r="E41" s="61"/>
      <c r="F41" s="21"/>
      <c r="G41" s="21" t="s">
        <v>57</v>
      </c>
      <c r="H41" s="21"/>
      <c r="I41" s="21"/>
      <c r="J41" s="21"/>
      <c r="K41" s="21"/>
    </row>
    <row r="42" spans="1:11" s="19" customFormat="1" x14ac:dyDescent="0.3">
      <c r="A42" s="21"/>
      <c r="B42" s="21"/>
      <c r="C42" s="21"/>
      <c r="D42" s="21" t="s">
        <v>37</v>
      </c>
      <c r="E42" s="21" t="s">
        <v>74</v>
      </c>
      <c r="F42" s="21"/>
      <c r="G42" s="21"/>
      <c r="H42" s="21"/>
      <c r="I42" s="21"/>
      <c r="J42" s="21"/>
      <c r="K42" s="21"/>
    </row>
    <row r="43" spans="1:11" s="19" customFormat="1" x14ac:dyDescent="0.3">
      <c r="A43" s="21"/>
      <c r="B43" s="21"/>
      <c r="C43" s="21"/>
      <c r="D43" s="21"/>
      <c r="E43" s="61"/>
      <c r="F43" s="21"/>
      <c r="G43" s="21" t="s">
        <v>32</v>
      </c>
      <c r="H43" s="21"/>
      <c r="I43" s="21"/>
      <c r="J43" s="21"/>
      <c r="K43" s="21"/>
    </row>
    <row r="44" spans="1:11" s="19" customFormat="1" x14ac:dyDescent="0.3">
      <c r="A44" s="21"/>
      <c r="B44" s="21"/>
      <c r="C44" s="21"/>
      <c r="D44" s="21" t="s">
        <v>29</v>
      </c>
      <c r="E44" s="21" t="s">
        <v>69</v>
      </c>
      <c r="F44" s="21"/>
      <c r="G44" s="21"/>
      <c r="H44" s="21"/>
      <c r="I44" s="21"/>
      <c r="J44" s="21"/>
      <c r="K44" s="21"/>
    </row>
    <row r="45" spans="1:11" s="19" customFormat="1" x14ac:dyDescent="0.3">
      <c r="A45" s="21"/>
      <c r="B45" s="21"/>
      <c r="C45" s="21"/>
      <c r="D45" s="21"/>
      <c r="E45" s="61"/>
      <c r="F45" s="21"/>
      <c r="G45" s="21" t="s">
        <v>89</v>
      </c>
      <c r="H45" s="21"/>
      <c r="I45" s="21"/>
      <c r="J45" s="21"/>
      <c r="K45" s="21"/>
    </row>
    <row r="46" spans="1:11" s="19" customFormat="1" x14ac:dyDescent="0.3">
      <c r="A46" s="21"/>
      <c r="B46" s="21"/>
      <c r="C46" s="21"/>
      <c r="D46" s="21" t="s">
        <v>38</v>
      </c>
      <c r="E46" s="21" t="s">
        <v>74</v>
      </c>
      <c r="F46" s="21"/>
      <c r="G46" s="21"/>
      <c r="H46" s="21"/>
      <c r="I46" s="21"/>
      <c r="J46" s="21"/>
      <c r="K46" s="21"/>
    </row>
    <row r="47" spans="1:11" s="19" customFormat="1" x14ac:dyDescent="0.3">
      <c r="A47" s="21"/>
      <c r="B47" s="21"/>
      <c r="C47" s="21"/>
      <c r="D47" s="21"/>
      <c r="E47" s="61"/>
      <c r="F47" s="21"/>
      <c r="G47" s="21" t="s">
        <v>71</v>
      </c>
      <c r="H47" s="21"/>
      <c r="I47" s="21"/>
      <c r="J47" s="21"/>
      <c r="K47" s="21"/>
    </row>
    <row r="48" spans="1:11" s="19" customFormat="1" x14ac:dyDescent="0.3">
      <c r="A48" s="21"/>
      <c r="B48" s="21"/>
      <c r="C48" s="21"/>
      <c r="D48" s="21" t="s">
        <v>79</v>
      </c>
      <c r="E48" s="21" t="s">
        <v>74</v>
      </c>
      <c r="F48" s="21"/>
      <c r="G48" s="21"/>
      <c r="H48" s="21"/>
      <c r="I48" s="21"/>
      <c r="J48" s="21"/>
      <c r="K48" s="21"/>
    </row>
    <row r="49" spans="1:11" s="19" customFormat="1" x14ac:dyDescent="0.3">
      <c r="A49" s="21"/>
      <c r="B49" s="21"/>
      <c r="C49" s="21"/>
      <c r="D49" s="21"/>
      <c r="E49" s="61"/>
      <c r="F49" s="21"/>
      <c r="G49" s="21" t="s">
        <v>81</v>
      </c>
      <c r="H49" s="21"/>
      <c r="I49" s="21"/>
      <c r="J49" s="21"/>
      <c r="K49" s="21"/>
    </row>
    <row r="50" spans="1:11" s="19" customFormat="1" x14ac:dyDescent="0.3">
      <c r="A50" s="21" t="s">
        <v>9</v>
      </c>
      <c r="B50" s="21"/>
      <c r="C50" s="21"/>
      <c r="D50" s="21"/>
      <c r="E50" s="21"/>
      <c r="F50" s="21"/>
      <c r="G50" s="21"/>
      <c r="H50" s="21"/>
      <c r="I50" s="21"/>
      <c r="J50" s="21"/>
      <c r="K50" s="21"/>
    </row>
    <row r="51" spans="1:11" s="19" customFormat="1" x14ac:dyDescent="0.3">
      <c r="A51" s="21"/>
      <c r="B51" s="21">
        <v>0</v>
      </c>
      <c r="C51" s="21"/>
      <c r="D51" s="21" t="s">
        <v>40</v>
      </c>
      <c r="E51" s="21" t="s">
        <v>9</v>
      </c>
      <c r="F51" s="21"/>
      <c r="G51" s="21"/>
      <c r="H51" s="21"/>
      <c r="I51" s="21"/>
      <c r="J51" s="21"/>
      <c r="K51" s="21"/>
    </row>
    <row r="52" spans="1:11" s="19" customFormat="1" x14ac:dyDescent="0.3">
      <c r="A52" s="21"/>
      <c r="B52" s="21"/>
      <c r="C52" s="21"/>
      <c r="D52" s="21"/>
      <c r="E52" s="61"/>
      <c r="F52" s="21"/>
      <c r="G52" s="21" t="s">
        <v>57</v>
      </c>
      <c r="H52" s="21"/>
      <c r="I52" s="21"/>
      <c r="J52" s="21"/>
      <c r="K52" s="21"/>
    </row>
    <row r="53" spans="1:11" s="19" customFormat="1" x14ac:dyDescent="0.3">
      <c r="A53" s="21" t="s">
        <v>61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</row>
    <row r="54" spans="1:11" s="19" customFormat="1" x14ac:dyDescent="0.3">
      <c r="A54" s="21"/>
      <c r="B54" s="21">
        <v>0</v>
      </c>
      <c r="C54" s="21" t="s">
        <v>92</v>
      </c>
      <c r="D54" s="21" t="s">
        <v>34</v>
      </c>
      <c r="E54" s="21" t="s">
        <v>80</v>
      </c>
      <c r="F54" s="21"/>
      <c r="G54" s="21"/>
      <c r="H54" s="21"/>
      <c r="I54" s="21"/>
      <c r="J54" s="21"/>
      <c r="K54" s="21"/>
    </row>
    <row r="55" spans="1:11" s="19" customFormat="1" x14ac:dyDescent="0.3">
      <c r="A55" s="21"/>
      <c r="B55" s="21"/>
      <c r="C55" s="21"/>
      <c r="D55" s="21"/>
      <c r="E55" s="61" t="s">
        <v>102</v>
      </c>
      <c r="F55" s="21" t="s">
        <v>101</v>
      </c>
      <c r="G55" s="21" t="s">
        <v>77</v>
      </c>
      <c r="H55" s="21" t="s">
        <v>68</v>
      </c>
      <c r="I55" s="21">
        <v>-20</v>
      </c>
      <c r="J55" s="21" t="s">
        <v>64</v>
      </c>
      <c r="K55" s="21" t="s">
        <v>94</v>
      </c>
    </row>
    <row r="56" spans="1:11" s="19" customFormat="1" x14ac:dyDescent="0.3">
      <c r="A56" s="21"/>
      <c r="B56" s="21">
        <v>492</v>
      </c>
      <c r="C56" s="21" t="s">
        <v>99</v>
      </c>
      <c r="D56" s="21" t="s">
        <v>27</v>
      </c>
      <c r="E56" s="21" t="s">
        <v>80</v>
      </c>
      <c r="F56" s="21"/>
      <c r="G56" s="21"/>
      <c r="H56" s="21"/>
      <c r="I56" s="21"/>
      <c r="J56" s="21"/>
      <c r="K56" s="21"/>
    </row>
    <row r="57" spans="1:11" s="19" customFormat="1" x14ac:dyDescent="0.3">
      <c r="A57" s="21"/>
      <c r="B57" s="21"/>
      <c r="C57" s="21"/>
      <c r="D57" s="21"/>
      <c r="E57" s="61"/>
      <c r="F57" s="21" t="s">
        <v>98</v>
      </c>
      <c r="G57" s="21" t="s">
        <v>73</v>
      </c>
      <c r="H57" s="21" t="s">
        <v>76</v>
      </c>
      <c r="I57" s="21">
        <v>39</v>
      </c>
      <c r="J57" s="21" t="s">
        <v>88</v>
      </c>
      <c r="K57" s="21" t="s">
        <v>100</v>
      </c>
    </row>
    <row r="58" spans="1:11" s="19" customFormat="1" ht="15" customHeight="1" x14ac:dyDescent="0.3">
      <c r="A58" s="21" t="s">
        <v>10</v>
      </c>
      <c r="B58" s="21"/>
      <c r="C58" s="21"/>
      <c r="D58" s="21"/>
      <c r="E58" s="21"/>
      <c r="F58" s="21"/>
      <c r="G58" s="21"/>
      <c r="H58" s="21"/>
      <c r="I58" s="21"/>
      <c r="J58" s="21"/>
      <c r="K58" s="21"/>
    </row>
    <row r="59" spans="1:11" s="19" customFormat="1" x14ac:dyDescent="0.3">
      <c r="A59" s="21"/>
      <c r="B59" s="21">
        <v>0</v>
      </c>
      <c r="C59" s="21"/>
      <c r="D59" s="21" t="s">
        <v>41</v>
      </c>
      <c r="E59" s="21" t="s">
        <v>10</v>
      </c>
      <c r="F59" s="21"/>
      <c r="G59" s="21"/>
      <c r="H59" s="21"/>
      <c r="I59" s="21"/>
      <c r="J59" s="21"/>
      <c r="K59" s="21"/>
    </row>
    <row r="60" spans="1:11" s="19" customFormat="1" x14ac:dyDescent="0.3">
      <c r="A60" s="21"/>
      <c r="B60" s="21"/>
      <c r="C60" s="21"/>
      <c r="D60" s="21"/>
      <c r="E60" s="61"/>
      <c r="F60" s="21"/>
      <c r="G60" s="21" t="s">
        <v>58</v>
      </c>
      <c r="H60" s="21"/>
      <c r="I60" s="21"/>
      <c r="J60" s="21"/>
      <c r="K60" s="21"/>
    </row>
    <row r="61" spans="1:11" s="19" customFormat="1" x14ac:dyDescent="0.3">
      <c r="A61" s="21"/>
      <c r="B61" s="21"/>
      <c r="C61" s="21"/>
      <c r="D61" s="21" t="s">
        <v>39</v>
      </c>
      <c r="E61" s="21" t="s">
        <v>10</v>
      </c>
      <c r="F61" s="21"/>
      <c r="G61" s="21"/>
      <c r="H61" s="21"/>
      <c r="I61" s="21"/>
      <c r="J61" s="21"/>
      <c r="K61" s="21"/>
    </row>
    <row r="62" spans="1:11" s="19" customFormat="1" x14ac:dyDescent="0.3">
      <c r="A62" s="21"/>
      <c r="B62" s="21"/>
      <c r="C62" s="21"/>
      <c r="D62" s="21"/>
      <c r="E62" s="61"/>
      <c r="F62" s="21"/>
      <c r="G62" s="21" t="s">
        <v>58</v>
      </c>
      <c r="H62" s="21"/>
      <c r="I62" s="21"/>
      <c r="J62" s="21"/>
      <c r="K62" s="21"/>
    </row>
    <row r="63" spans="1:11" s="19" customFormat="1" x14ac:dyDescent="0.3">
      <c r="A63" s="21"/>
      <c r="B63" s="21"/>
      <c r="C63" s="21"/>
      <c r="D63" s="21" t="s">
        <v>25</v>
      </c>
      <c r="E63" s="21" t="s">
        <v>10</v>
      </c>
      <c r="F63" s="21"/>
      <c r="G63" s="21"/>
      <c r="H63" s="21"/>
      <c r="I63" s="21"/>
      <c r="J63" s="21"/>
      <c r="K63" s="21"/>
    </row>
    <row r="64" spans="1:11" s="19" customFormat="1" x14ac:dyDescent="0.3">
      <c r="A64" s="21"/>
      <c r="B64" s="21"/>
      <c r="C64" s="21"/>
      <c r="D64" s="21"/>
      <c r="E64" s="61"/>
      <c r="F64" s="21"/>
      <c r="G64" s="21" t="s">
        <v>58</v>
      </c>
      <c r="H64" s="21"/>
      <c r="I64" s="21"/>
      <c r="J64" s="21"/>
      <c r="K64" s="21"/>
    </row>
    <row r="65" spans="1:11" s="19" customFormat="1" x14ac:dyDescent="0.3">
      <c r="A65" s="21"/>
      <c r="B65" s="21"/>
      <c r="C65" s="21"/>
      <c r="D65" s="21" t="s">
        <v>26</v>
      </c>
      <c r="E65" s="21" t="s">
        <v>10</v>
      </c>
      <c r="F65" s="21"/>
      <c r="G65" s="21"/>
      <c r="H65" s="21"/>
      <c r="I65" s="21"/>
      <c r="J65" s="21"/>
      <c r="K65" s="21"/>
    </row>
    <row r="66" spans="1:11" s="19" customFormat="1" x14ac:dyDescent="0.3">
      <c r="A66" s="21"/>
      <c r="B66" s="21"/>
      <c r="C66" s="21"/>
      <c r="D66" s="21"/>
      <c r="E66" s="61"/>
      <c r="F66" s="21"/>
      <c r="G66" s="21" t="s">
        <v>58</v>
      </c>
      <c r="H66" s="21"/>
      <c r="I66" s="21"/>
      <c r="J66" s="21"/>
      <c r="K66" s="21"/>
    </row>
    <row r="67" spans="1:11" s="19" customFormat="1" x14ac:dyDescent="0.3">
      <c r="A67"/>
      <c r="B67"/>
      <c r="C67"/>
      <c r="D67"/>
      <c r="E67"/>
      <c r="F67"/>
      <c r="G67"/>
      <c r="H67"/>
      <c r="I67"/>
      <c r="J67"/>
      <c r="K67"/>
    </row>
    <row r="68" spans="1:11" s="19" customFormat="1" ht="15" customHeight="1" x14ac:dyDescent="0.3">
      <c r="A68"/>
      <c r="B68"/>
      <c r="C68"/>
      <c r="D68"/>
      <c r="E68"/>
      <c r="F68"/>
      <c r="G68"/>
      <c r="H68"/>
      <c r="I68"/>
      <c r="J68"/>
      <c r="K68"/>
    </row>
    <row r="69" spans="1:11" s="19" customFormat="1" ht="15" customHeight="1" x14ac:dyDescent="0.3">
      <c r="A69"/>
      <c r="B69"/>
      <c r="C69"/>
      <c r="D69"/>
      <c r="E69"/>
      <c r="F69"/>
      <c r="G69"/>
      <c r="H69"/>
      <c r="I69"/>
      <c r="J69"/>
      <c r="K69"/>
    </row>
    <row r="70" spans="1:11" s="19" customFormat="1" ht="15" customHeight="1" x14ac:dyDescent="0.3">
      <c r="A70" s="21"/>
      <c r="B70" s="21"/>
      <c r="C70" s="21"/>
      <c r="D70" s="21"/>
      <c r="E70" s="21"/>
      <c r="F70" s="21"/>
      <c r="G70" s="21"/>
      <c r="H70" s="21"/>
      <c r="I70" s="21"/>
    </row>
    <row r="71" spans="1:11" s="19" customFormat="1" ht="15" customHeight="1" x14ac:dyDescent="0.3">
      <c r="A71" s="21"/>
      <c r="B71" s="21"/>
      <c r="C71" s="21"/>
      <c r="D71" s="21"/>
      <c r="E71" s="21"/>
      <c r="F71" s="21"/>
      <c r="G71" s="21"/>
      <c r="H71" s="21"/>
      <c r="I71" s="21"/>
    </row>
    <row r="72" spans="1:11" s="19" customFormat="1" ht="15" customHeight="1" x14ac:dyDescent="0.3">
      <c r="A72" s="21"/>
      <c r="B72" s="21"/>
      <c r="C72" s="21"/>
      <c r="D72" s="21"/>
      <c r="E72" s="21"/>
      <c r="F72" s="21"/>
      <c r="G72" s="21"/>
      <c r="H72" s="21"/>
      <c r="I72" s="21"/>
    </row>
    <row r="73" spans="1:11" s="19" customFormat="1" ht="15" customHeight="1" x14ac:dyDescent="0.3">
      <c r="C73" s="20"/>
    </row>
    <row r="74" spans="1:11" s="19" customFormat="1" ht="15" customHeight="1" x14ac:dyDescent="0.3">
      <c r="C74" s="20"/>
    </row>
    <row r="75" spans="1:11" s="19" customFormat="1" ht="15" customHeight="1" x14ac:dyDescent="0.3">
      <c r="C75" s="20"/>
    </row>
    <row r="76" spans="1:11" s="19" customFormat="1" ht="15" customHeight="1" x14ac:dyDescent="0.3">
      <c r="C76" s="20"/>
    </row>
    <row r="77" spans="1:11" s="19" customFormat="1" ht="15" customHeight="1" x14ac:dyDescent="0.3">
      <c r="C77" s="20"/>
    </row>
    <row r="78" spans="1:11" s="19" customFormat="1" ht="15" customHeight="1" x14ac:dyDescent="0.3">
      <c r="C78" s="20"/>
    </row>
    <row r="79" spans="1:11" s="19" customFormat="1" ht="15" customHeight="1" x14ac:dyDescent="0.3">
      <c r="C79" s="20"/>
    </row>
    <row r="80" spans="1:11" s="19" customFormat="1" ht="15" customHeight="1" x14ac:dyDescent="0.3">
      <c r="C80" s="20"/>
    </row>
    <row r="81" spans="3:3" s="19" customFormat="1" ht="15" customHeight="1" x14ac:dyDescent="0.3">
      <c r="C81" s="20"/>
    </row>
    <row r="82" spans="3:3" s="19" customFormat="1" ht="15" customHeight="1" x14ac:dyDescent="0.3">
      <c r="C82" s="20"/>
    </row>
    <row r="83" spans="3:3" s="19" customFormat="1" ht="15" customHeight="1" x14ac:dyDescent="0.3">
      <c r="C83" s="20"/>
    </row>
    <row r="84" spans="3:3" s="19" customFormat="1" ht="15" customHeight="1" x14ac:dyDescent="0.3">
      <c r="C84" s="20"/>
    </row>
    <row r="85" spans="3:3" s="19" customFormat="1" ht="15" customHeight="1" x14ac:dyDescent="0.3">
      <c r="C85" s="20"/>
    </row>
    <row r="86" spans="3:3" s="19" customFormat="1" ht="15" customHeight="1" x14ac:dyDescent="0.3">
      <c r="C86" s="20"/>
    </row>
    <row r="87" spans="3:3" s="19" customFormat="1" ht="15" customHeight="1" x14ac:dyDescent="0.3">
      <c r="C87" s="20"/>
    </row>
    <row r="88" spans="3:3" s="19" customFormat="1" ht="15" customHeight="1" x14ac:dyDescent="0.3">
      <c r="C88" s="20"/>
    </row>
    <row r="89" spans="3:3" s="19" customFormat="1" ht="15" customHeight="1" x14ac:dyDescent="0.3">
      <c r="C89" s="20"/>
    </row>
    <row r="90" spans="3:3" s="19" customFormat="1" ht="15" customHeight="1" x14ac:dyDescent="0.3">
      <c r="C90" s="20"/>
    </row>
    <row r="91" spans="3:3" s="19" customFormat="1" ht="15" customHeight="1" x14ac:dyDescent="0.3">
      <c r="C91" s="20"/>
    </row>
    <row r="92" spans="3:3" ht="15" customHeight="1" x14ac:dyDescent="0.3"/>
    <row r="93" spans="3:3" ht="15" customHeight="1" x14ac:dyDescent="0.3"/>
    <row r="94" spans="3:3" ht="15" customHeight="1" x14ac:dyDescent="0.3"/>
    <row r="95" spans="3:3" ht="15" customHeight="1" x14ac:dyDescent="0.3"/>
    <row r="96" spans="3:3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  <row r="119" ht="15" customHeight="1" x14ac:dyDescent="0.3"/>
    <row r="120" ht="15" customHeight="1" x14ac:dyDescent="0.3"/>
    <row r="121" ht="15" customHeight="1" x14ac:dyDescent="0.3"/>
    <row r="122" ht="15" customHeight="1" x14ac:dyDescent="0.3"/>
    <row r="123" ht="15" customHeight="1" x14ac:dyDescent="0.3"/>
    <row r="124" ht="15" customHeight="1" x14ac:dyDescent="0.3"/>
    <row r="125" ht="15" customHeight="1" x14ac:dyDescent="0.3"/>
    <row r="126" ht="15" customHeight="1" x14ac:dyDescent="0.3"/>
    <row r="127" ht="15" customHeight="1" x14ac:dyDescent="0.3"/>
    <row r="128" ht="15" customHeight="1" x14ac:dyDescent="0.3"/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</sheetData>
  <sortState ref="A27:K66">
    <sortCondition descending="1" ref="A28"/>
  </sortState>
  <mergeCells count="6">
    <mergeCell ref="A25:K25"/>
    <mergeCell ref="C2:E2"/>
    <mergeCell ref="C4:D4"/>
    <mergeCell ref="D7:D8"/>
    <mergeCell ref="D10:D14"/>
    <mergeCell ref="D17:E17"/>
  </mergeCells>
  <pageMargins left="0.7" right="0.7" top="0.75" bottom="0.75" header="0.3" footer="0.3"/>
  <pageSetup scale="24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CCCF2BD0-3ECB-419A-8C64-1792930CBBD7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10</xm:f>
              </x14:cfvo>
              <x14:cfIcon iconSet="3Symbols" iconId="0"/>
              <x14:cfIcon iconSet="3Symbols" iconId="2"/>
              <x14:cfIcon iconSet="3Symbols" iconId="1"/>
            </x14:iconSet>
          </x14:cfRule>
          <xm:sqref>I1:I25 I27:I1048576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showGridLines="0" zoomScaleNormal="100" workbookViewId="0">
      <pane xSplit="1" topLeftCell="B1" activePane="topRight" state="frozen"/>
      <selection pane="topRight" activeCell="G6" sqref="G6"/>
    </sheetView>
  </sheetViews>
  <sheetFormatPr baseColWidth="10" defaultColWidth="9.109375" defaultRowHeight="14.4" x14ac:dyDescent="0.3"/>
  <cols>
    <col min="1" max="1" width="20.6640625" customWidth="1"/>
    <col min="2" max="2" width="17" bestFit="1" customWidth="1"/>
    <col min="3" max="3" width="15.6640625" bestFit="1" customWidth="1"/>
    <col min="4" max="4" width="18.5546875" bestFit="1" customWidth="1"/>
    <col min="5" max="5" width="22.44140625" bestFit="1" customWidth="1"/>
    <col min="6" max="6" width="17.6640625" customWidth="1"/>
    <col min="7" max="7" width="64.88671875" bestFit="1" customWidth="1"/>
    <col min="8" max="8" width="78.6640625" bestFit="1" customWidth="1"/>
    <col min="9" max="9" width="68.109375" customWidth="1"/>
    <col min="10" max="10" width="9.88671875" bestFit="1" customWidth="1"/>
    <col min="11" max="11" width="15.6640625" customWidth="1"/>
    <col min="12" max="12" width="20.88671875" bestFit="1" customWidth="1"/>
    <col min="13" max="13" width="17.6640625" bestFit="1" customWidth="1"/>
    <col min="14" max="15" width="15.6640625" customWidth="1"/>
    <col min="17" max="18" width="17.109375" style="10" customWidth="1"/>
    <col min="20" max="20" width="13.5546875" bestFit="1" customWidth="1"/>
    <col min="21" max="21" width="11.33203125" customWidth="1"/>
    <col min="22" max="22" width="14" bestFit="1" customWidth="1"/>
  </cols>
  <sheetData>
    <row r="1" spans="1:21" x14ac:dyDescent="0.3">
      <c r="A1" t="s">
        <v>42</v>
      </c>
      <c r="B1" s="5">
        <f ca="1">TODAY()</f>
        <v>44616</v>
      </c>
      <c r="E1" t="str">
        <f ca="1">IF((ISNA((VLOOKUP(B1+B2,Report!Q:Q,1,0))))=FALSE,"Reportado","Pendiente")</f>
        <v>Pendiente</v>
      </c>
      <c r="F1" s="9" t="str">
        <f ca="1">B1&amp;B2</f>
        <v>446160,75</v>
      </c>
      <c r="M1" t="s">
        <v>43</v>
      </c>
    </row>
    <row r="2" spans="1:21" x14ac:dyDescent="0.3">
      <c r="A2" t="s">
        <v>44</v>
      </c>
      <c r="B2" s="8">
        <f ca="1">IF(MOD((NOW()),1)&lt;0.416666666666667,0.375,IF(MOD((NOW()),1)&lt;0.541666666666667,0.5,0.75))</f>
        <v>0.75</v>
      </c>
    </row>
    <row r="3" spans="1:21" x14ac:dyDescent="0.3">
      <c r="A3" t="str">
        <f>""</f>
        <v/>
      </c>
      <c r="B3" t="str">
        <f>""</f>
        <v/>
      </c>
      <c r="C3" t="str">
        <f>""</f>
        <v/>
      </c>
      <c r="D3" t="str">
        <f>""</f>
        <v/>
      </c>
      <c r="E3" t="str">
        <f>""</f>
        <v/>
      </c>
      <c r="F3" t="str">
        <f>""</f>
        <v/>
      </c>
      <c r="G3" t="str">
        <f>""</f>
        <v/>
      </c>
      <c r="H3" t="str">
        <f>""</f>
        <v/>
      </c>
      <c r="I3" t="str">
        <f>""</f>
        <v/>
      </c>
      <c r="J3" t="str">
        <f>""</f>
        <v/>
      </c>
      <c r="K3" t="str">
        <f>""</f>
        <v/>
      </c>
      <c r="L3" t="str">
        <f>""</f>
        <v/>
      </c>
      <c r="M3" t="str">
        <f>""</f>
        <v/>
      </c>
      <c r="O3" t="str">
        <f>""</f>
        <v/>
      </c>
    </row>
    <row r="4" spans="1:21" x14ac:dyDescent="0.3">
      <c r="A4" t="str">
        <f>""</f>
        <v/>
      </c>
      <c r="B4" t="str">
        <f>""</f>
        <v/>
      </c>
      <c r="C4" t="str">
        <f>""</f>
        <v/>
      </c>
      <c r="D4" t="str">
        <f>""</f>
        <v/>
      </c>
      <c r="E4" t="str">
        <f>""</f>
        <v/>
      </c>
      <c r="F4" t="str">
        <f>""</f>
        <v/>
      </c>
      <c r="G4" t="str">
        <f>""</f>
        <v/>
      </c>
      <c r="H4" t="str">
        <f>""</f>
        <v/>
      </c>
      <c r="I4" t="str">
        <f>""</f>
        <v/>
      </c>
      <c r="J4" t="str">
        <f>""</f>
        <v/>
      </c>
      <c r="K4" t="str">
        <f>""</f>
        <v/>
      </c>
      <c r="L4" t="str">
        <f>""</f>
        <v/>
      </c>
      <c r="M4" t="str">
        <f>""</f>
        <v/>
      </c>
      <c r="O4" t="str">
        <f>""</f>
        <v/>
      </c>
    </row>
    <row r="5" spans="1:21" x14ac:dyDescent="0.3">
      <c r="A5" s="22" t="s">
        <v>14</v>
      </c>
      <c r="B5" s="22" t="s">
        <v>1</v>
      </c>
      <c r="C5" s="22" t="s">
        <v>45</v>
      </c>
      <c r="D5" s="22" t="s">
        <v>18</v>
      </c>
      <c r="E5" s="22" t="s">
        <v>46</v>
      </c>
      <c r="F5" s="22" t="s">
        <v>47</v>
      </c>
      <c r="G5" s="22" t="s">
        <v>2</v>
      </c>
      <c r="H5" s="22" t="s">
        <v>16</v>
      </c>
      <c r="I5" s="22" t="s">
        <v>48</v>
      </c>
      <c r="J5" s="25" t="s">
        <v>82</v>
      </c>
      <c r="K5" s="25" t="s">
        <v>83</v>
      </c>
      <c r="L5" s="22" t="s">
        <v>49</v>
      </c>
      <c r="M5" s="22" t="s">
        <v>20</v>
      </c>
      <c r="N5" s="7" t="s">
        <v>17</v>
      </c>
      <c r="O5" s="7" t="s">
        <v>78</v>
      </c>
      <c r="P5" s="7" t="s">
        <v>13</v>
      </c>
      <c r="Q5" s="11" t="s">
        <v>50</v>
      </c>
      <c r="R5" s="11" t="s">
        <v>51</v>
      </c>
      <c r="S5" s="6" t="s">
        <v>52</v>
      </c>
      <c r="T5" s="6" t="s">
        <v>84</v>
      </c>
      <c r="U5" s="6" t="s">
        <v>52</v>
      </c>
    </row>
    <row r="6" spans="1:21" s="30" customFormat="1" x14ac:dyDescent="0.3">
      <c r="A6" s="27" t="s">
        <v>22</v>
      </c>
      <c r="B6" s="27" t="s">
        <v>8</v>
      </c>
      <c r="C6" s="27" t="str">
        <f>""</f>
        <v/>
      </c>
      <c r="D6" s="65" t="str">
        <f>""</f>
        <v/>
      </c>
      <c r="E6" s="38">
        <v>432</v>
      </c>
      <c r="F6" s="27" t="s">
        <v>54</v>
      </c>
      <c r="G6" s="44" t="s">
        <v>69</v>
      </c>
      <c r="H6" s="28" t="str">
        <f>""</f>
        <v/>
      </c>
      <c r="I6" s="29" t="str">
        <f>""</f>
        <v/>
      </c>
      <c r="J6" s="27" t="str">
        <f>""</f>
        <v/>
      </c>
      <c r="K6" s="27" t="str">
        <f>""</f>
        <v/>
      </c>
      <c r="L6" s="27" t="str">
        <f>""</f>
        <v/>
      </c>
      <c r="M6" s="27" t="str">
        <f>""</f>
        <v/>
      </c>
      <c r="N6" s="30" t="str">
        <f>IF((ISNUMBER(E6))=TRUE,((PROPER($E$5))&amp;" "&amp;(PROPER(E6))&amp;"-"&amp;(VLOOKUP(F6,Date!$N:$O,2,0))),PROPER(E6))</f>
        <v>Km 432-RM</v>
      </c>
      <c r="O6" s="30" t="str">
        <f>IF((ISNUMBER(J6))=TRUE,((PROPER($E$5))&amp;" "&amp;(PROPER(J6))&amp;"-"&amp;(VLOOKUP(K6,Date!$N:$O,2,0))),PROPER(J6))</f>
        <v/>
      </c>
      <c r="P6" s="30">
        <f>IFERROR((IF(AND(C6="up",F6=Date!$N$2),626-E6,IF(AND(C6="up",F6=Date!$N$3),(626-(VLOOKUP(E6,Date!T:U,2,0))),IF(AND(C6="down",F6=Date!$N$2),E6+30,IF(AND(C6="down",F6=Date!$N$3),((VLOOKUP(E6,Date!T:U,2,0))+30)))))*1),0)</f>
        <v>0</v>
      </c>
      <c r="Q6" s="31">
        <f t="shared" ref="Q6:Q22" ca="1" si="0">$B$1+$B$2</f>
        <v>44616.75</v>
      </c>
      <c r="R6" s="31">
        <f t="shared" ref="R6:R22" ca="1" si="1">NOW()</f>
        <v>44616.871614351854</v>
      </c>
      <c r="T6" s="30" t="str">
        <f>IF(AND(ISNUMBER(E6),ISNUMBER(J6)),(IF(C6="Up",(IF(AND(K6="Canal del dique",F6="Canal del dique"),(J6-E6),IF(AND(K6="Rio Magdalena",F6="Canal del dique"),-((J6-90)+E6),IF(AND(K6="Rio Magdalena",F6="Rio Magdalena"),-(J6-E6))))),IF(C6="Down",(IF(AND(K6="Canal del dique",F6="Canal del dique"),(E6-J6),IF(AND(K6="Rio Magdalena",F6="Canal del dique"),((J6-90)+E6),IF(AND(K6="Rio Magdalena",F6="Rio Magdalena"),(J6-E6))))),IF(C6="Feeder CTG-BAQ",IF(AND(K6="Canal del dique",F6="Canal del dique"),(J6-E6),IF(AND(K6="Rio Magdalena",F6="Canal del dique"),-((90-J6)+E6),IF(AND(K6="Canal del dique",F6="Rio Magdalena"),((90-E6)+J6),IF(AND(K6="Rio Magdalena",F6="Rio Magdalena"),(J6-E6))))),IF(C6="Feeder BAQ-CTG",IF(AND(K6="Canal del dique",F6="Canal del dique"),-(J6-E6),IF(AND(K6="Rio Magdalena",F6="Canal del dique"),((90-J6)+E6),IF(AND(K6="Canal del dique",F6="Rio Magdalena"),-((90-E6)+J6),IF(AND(K6="Rio Magdalena",F6="Rio Magdalena"),-(J6-E6)))))))))),"")</f>
        <v/>
      </c>
    </row>
    <row r="7" spans="1:21" s="36" customFormat="1" x14ac:dyDescent="0.3">
      <c r="A7" s="34" t="s">
        <v>29</v>
      </c>
      <c r="B7" s="32" t="s">
        <v>8</v>
      </c>
      <c r="C7" s="34" t="str">
        <f>""</f>
        <v/>
      </c>
      <c r="D7" s="39" t="str">
        <f>""</f>
        <v/>
      </c>
      <c r="E7" s="33" t="s">
        <v>89</v>
      </c>
      <c r="F7" s="34" t="s">
        <v>56</v>
      </c>
      <c r="G7" s="44" t="s">
        <v>69</v>
      </c>
      <c r="H7" s="42" t="str">
        <f>""</f>
        <v/>
      </c>
      <c r="I7" s="29" t="str">
        <f>""</f>
        <v/>
      </c>
      <c r="J7" s="34" t="str">
        <f>""</f>
        <v/>
      </c>
      <c r="K7" s="34" t="str">
        <f>""</f>
        <v/>
      </c>
      <c r="L7" s="27" t="str">
        <f>""</f>
        <v/>
      </c>
      <c r="M7" s="35" t="str">
        <f>""</f>
        <v/>
      </c>
      <c r="N7" s="36" t="str">
        <f>IF((ISNUMBER(E7))=TRUE,((PROPER($E$5))&amp;" "&amp;(PROPER(E7))&amp;"-"&amp;(VLOOKUP(F7,Date!$N:$O,2,0))),PROPER(E7))</f>
        <v>Boya Puerto Bahia</v>
      </c>
      <c r="O7" s="36" t="str">
        <f>IF((ISNUMBER(J7))=TRUE,((PROPER($E$5))&amp;" "&amp;(PROPER(J7))&amp;"-"&amp;(VLOOKUP(K7,Date!$N:$O,2,0))),PROPER(J7))</f>
        <v/>
      </c>
      <c r="P7" s="36">
        <f>IFERROR((IF(AND(C7="up",F7=Date!$N$2),626-E7,IF(AND(C7="up",F7=Date!$N$3),(626-(VLOOKUP(E7,Date!T:U,2,0))),IF(AND(C7="down",F7=Date!$N$2),E7+30,IF(AND(C7="down",F7=Date!$N$3),((VLOOKUP(E7,Date!T:U,2,0))+30)))))*1),0)</f>
        <v>0</v>
      </c>
      <c r="Q7" s="37">
        <f t="shared" ca="1" si="0"/>
        <v>44616.75</v>
      </c>
      <c r="R7" s="37">
        <f t="shared" ca="1" si="1"/>
        <v>44616.871614351854</v>
      </c>
      <c r="T7" s="36" t="str">
        <f t="shared" ref="T7:T22" si="2">IF(AND(ISNUMBER(E7),ISNUMBER(J7)),(IF(C7="Up",(IF(AND(K7="Canal del dique",F7="Canal del dique"),(J7-E7),IF(AND(K7="Rio Magdalena",F7="Canal del dique"),-((J7-90)+E7),IF(AND(K7="Rio Magdalena",F7="Rio Magdalena"),-(J7-E7))))),IF(C7="Down",(IF(AND(K7="Canal del dique",F7="Canal del dique"),(E7-J7),IF(AND(K7="Rio Magdalena",F7="Canal del dique"),((J7-90)+E7),IF(AND(K7="Rio Magdalena",F7="Rio Magdalena"),(J7-E7))))),IF(C7="Feeder CTG-BAQ",IF(AND(K7="Canal del dique",F7="Canal del dique"),(J7-E7),IF(AND(K7="Rio Magdalena",F7="Canal del dique"),-((90-J7)+E7),IF(AND(K7="Canal del dique",F7="Rio Magdalena"),((90-E7)+J7),IF(AND(K7="Rio Magdalena",F7="Rio Magdalena"),(J7-E7))))),IF(C7="Feeder BAQ-CTG",IF(AND(K7="Canal del dique",F7="Canal del dique"),-(J7-E7),IF(AND(K7="Rio Magdalena",F7="Canal del dique"),((90-J7)+E7),IF(AND(K7="Canal del dique",F7="Rio Magdalena"),-((90-E7)+J7),IF(AND(K7="Rio Magdalena",F7="Rio Magdalena"),-(J7-E7)))))))))),"")</f>
        <v/>
      </c>
    </row>
    <row r="8" spans="1:21" s="40" customFormat="1" x14ac:dyDescent="0.3">
      <c r="A8" s="32" t="s">
        <v>40</v>
      </c>
      <c r="B8" s="32" t="s">
        <v>9</v>
      </c>
      <c r="C8" s="35" t="str">
        <f>""</f>
        <v/>
      </c>
      <c r="D8" s="32" t="str">
        <f>""</f>
        <v/>
      </c>
      <c r="E8" s="33" t="s">
        <v>24</v>
      </c>
      <c r="F8" s="32" t="s">
        <v>54</v>
      </c>
      <c r="G8" s="33" t="s">
        <v>9</v>
      </c>
      <c r="H8" s="33" t="str">
        <f>""</f>
        <v/>
      </c>
      <c r="I8" s="28" t="str">
        <f>""</f>
        <v/>
      </c>
      <c r="J8" s="32" t="str">
        <f>""</f>
        <v/>
      </c>
      <c r="K8" s="32" t="str">
        <f>""</f>
        <v/>
      </c>
      <c r="L8" s="32" t="str">
        <f>""</f>
        <v/>
      </c>
      <c r="M8" s="27" t="str">
        <f>""</f>
        <v/>
      </c>
      <c r="N8" s="40" t="str">
        <f>IF((ISNUMBER(E8))=TRUE,((PROPER($E$5))&amp;" "&amp;(PROPER(E8))&amp;"-"&amp;(VLOOKUP(F8,Date!$N:$O,2,0))),PROPER(E8))</f>
        <v>Itbb</v>
      </c>
      <c r="O8" s="40" t="str">
        <f>IF((ISNUMBER(J8))=TRUE,((PROPER($E$5))&amp;" "&amp;(PROPER(J8))&amp;"-"&amp;(VLOOKUP(K8,Date!$N:$O,2,0))),PROPER(J8))</f>
        <v/>
      </c>
      <c r="P8" s="40">
        <f>IFERROR((IF(AND(C8="up",F8=Date!$N$2),626-E8,IF(AND(C8="up",F8=Date!$N$3),(626-(VLOOKUP(E8,Date!T:U,2,0))),IF(AND(C8="down",F8=Date!$N$2),E8+30,IF(AND(C8="down",F8=Date!$N$3),((VLOOKUP(E8,Date!T:U,2,0))+30)))))*1),0)</f>
        <v>0</v>
      </c>
      <c r="Q8" s="41">
        <f t="shared" ca="1" si="0"/>
        <v>44616.75</v>
      </c>
      <c r="R8" s="41">
        <f t="shared" ca="1" si="1"/>
        <v>44616.871614351854</v>
      </c>
      <c r="T8" s="40" t="str">
        <f t="shared" si="2"/>
        <v/>
      </c>
    </row>
    <row r="9" spans="1:21" s="30" customFormat="1" x14ac:dyDescent="0.3">
      <c r="A9" s="27" t="s">
        <v>25</v>
      </c>
      <c r="B9" s="27" t="s">
        <v>10</v>
      </c>
      <c r="C9" s="27" t="str">
        <f>""</f>
        <v/>
      </c>
      <c r="D9" s="32" t="str">
        <f>""</f>
        <v/>
      </c>
      <c r="E9" s="38" t="s">
        <v>35</v>
      </c>
      <c r="F9" s="27" t="s">
        <v>56</v>
      </c>
      <c r="G9" s="44" t="s">
        <v>10</v>
      </c>
      <c r="H9" s="42" t="str">
        <f>""</f>
        <v/>
      </c>
      <c r="I9" s="29" t="str">
        <f>""</f>
        <v/>
      </c>
      <c r="J9" s="27" t="str">
        <f>""</f>
        <v/>
      </c>
      <c r="K9" s="27" t="str">
        <f>""</f>
        <v/>
      </c>
      <c r="L9" s="27" t="str">
        <f>""</f>
        <v/>
      </c>
      <c r="M9" s="27" t="str">
        <f>""</f>
        <v/>
      </c>
      <c r="N9" s="30" t="str">
        <f>IF((ISNUMBER(E9))=TRUE,((PROPER($E$5))&amp;" "&amp;(PROPER(E9))&amp;"-"&amp;(VLOOKUP(F9,Date!$N:$O,2,0))),PROPER(E9))</f>
        <v>Cofiba</v>
      </c>
      <c r="O9" s="30" t="str">
        <f>IF((ISNUMBER(J9))=TRUE,((PROPER($E$5))&amp;" "&amp;(PROPER(J9))&amp;"-"&amp;(VLOOKUP(K9,Date!$N:$O,2,0))),PROPER(J9))</f>
        <v/>
      </c>
      <c r="P9" s="30">
        <f>IFERROR((IF(AND(C9="up",F9=Date!$N$2),626-E9,IF(AND(C9="up",F9=Date!$N$3),(626-(VLOOKUP(E9,Date!T:U,2,0))),IF(AND(C9="down",F9=Date!$N$2),E9+30,IF(AND(C9="down",F9=Date!$N$3),((VLOOKUP(E9,Date!T:U,2,0))+30)))))*1),0)</f>
        <v>0</v>
      </c>
      <c r="Q9" s="31">
        <f t="shared" ca="1" si="0"/>
        <v>44616.75</v>
      </c>
      <c r="R9" s="31">
        <f t="shared" ca="1" si="1"/>
        <v>44616.871614351854</v>
      </c>
      <c r="T9" s="30" t="str">
        <f t="shared" si="2"/>
        <v/>
      </c>
    </row>
    <row r="10" spans="1:21" s="30" customFormat="1" x14ac:dyDescent="0.3">
      <c r="A10" s="27" t="s">
        <v>28</v>
      </c>
      <c r="B10" s="27" t="s">
        <v>8</v>
      </c>
      <c r="C10" s="27" t="str">
        <f>""</f>
        <v/>
      </c>
      <c r="D10" s="62" t="str">
        <f>""</f>
        <v/>
      </c>
      <c r="E10" s="38" t="s">
        <v>35</v>
      </c>
      <c r="F10" s="27" t="s">
        <v>54</v>
      </c>
      <c r="G10" s="44" t="s">
        <v>66</v>
      </c>
      <c r="H10" s="42" t="str">
        <f>""</f>
        <v/>
      </c>
      <c r="I10" s="29" t="str">
        <f>""</f>
        <v/>
      </c>
      <c r="J10" s="27" t="str">
        <f>""</f>
        <v/>
      </c>
      <c r="K10" s="27" t="str">
        <f>""</f>
        <v/>
      </c>
      <c r="L10" s="27" t="str">
        <f>""</f>
        <v/>
      </c>
      <c r="M10" s="27" t="str">
        <f>""</f>
        <v/>
      </c>
      <c r="N10" s="30" t="str">
        <f>IF((ISNUMBER(E10))=TRUE,((PROPER($E$5))&amp;" "&amp;(PROPER(E10))&amp;"-"&amp;(VLOOKUP(F10,Date!$N:$O,2,0))),PROPER(E10))</f>
        <v>Cofiba</v>
      </c>
      <c r="O10" s="30" t="str">
        <f>IF((ISNUMBER(J10))=TRUE,((PROPER($E$5))&amp;" "&amp;(PROPER(J10))&amp;"-"&amp;(VLOOKUP(K10,Date!$N:$O,2,0))),PROPER(J10))</f>
        <v/>
      </c>
      <c r="P10" s="30">
        <f>IFERROR((IF(AND(C10="up",F10=Date!$N$2),626-E10,IF(AND(C10="up",F10=Date!$N$3),(626-(VLOOKUP(E10,Date!T:U,2,0))),IF(AND(C10="down",F10=Date!$N$2),E10+30,IF(AND(C10="down",F10=Date!$N$3),((VLOOKUP(E10,Date!T:U,2,0))+30)))))*1),0)</f>
        <v>0</v>
      </c>
      <c r="Q10" s="31">
        <f t="shared" ca="1" si="0"/>
        <v>44616.75</v>
      </c>
      <c r="R10" s="31">
        <f t="shared" ca="1" si="1"/>
        <v>44616.871614351854</v>
      </c>
      <c r="T10" s="30" t="str">
        <f t="shared" si="2"/>
        <v/>
      </c>
    </row>
    <row r="11" spans="1:21" s="36" customFormat="1" x14ac:dyDescent="0.3">
      <c r="A11" s="34" t="s">
        <v>36</v>
      </c>
      <c r="B11" s="32" t="s">
        <v>8</v>
      </c>
      <c r="C11" s="34" t="str">
        <f>""</f>
        <v/>
      </c>
      <c r="D11" s="39" t="str">
        <f>""</f>
        <v/>
      </c>
      <c r="E11" s="33" t="s">
        <v>24</v>
      </c>
      <c r="F11" s="34" t="s">
        <v>54</v>
      </c>
      <c r="G11" s="33" t="s">
        <v>90</v>
      </c>
      <c r="H11" s="63" t="str">
        <f>""</f>
        <v/>
      </c>
      <c r="I11" s="29" t="str">
        <f>""</f>
        <v/>
      </c>
      <c r="J11" s="33" t="str">
        <f>""</f>
        <v/>
      </c>
      <c r="K11" s="34" t="str">
        <f>""</f>
        <v/>
      </c>
      <c r="L11" s="27" t="str">
        <f>""</f>
        <v/>
      </c>
      <c r="M11" s="35" t="str">
        <f>""</f>
        <v/>
      </c>
      <c r="N11" s="36" t="str">
        <f>IF((ISNUMBER(E11))=TRUE,((PROPER($E$5))&amp;" "&amp;(PROPER(E11))&amp;"-"&amp;(VLOOKUP(F11,Date!$N:$O,2,0))),PROPER(E11))</f>
        <v>Itbb</v>
      </c>
      <c r="O11" s="36" t="str">
        <f>IF((ISNUMBER(J11))=TRUE,((PROPER($E$5))&amp;" "&amp;(PROPER(J11))&amp;"-"&amp;(VLOOKUP(K11,Date!$N:$O,2,0))),PROPER(J11))</f>
        <v/>
      </c>
      <c r="P11" s="36">
        <f>IFERROR((IF(AND(C11="up",F11=Date!$N$2),626-E11,IF(AND(C11="up",F11=Date!$N$3),(626-(VLOOKUP(E11,Date!T:U,2,0))),IF(AND(C11="down",F11=Date!$N$2),E11+30,IF(AND(C11="down",F11=Date!$N$3),((VLOOKUP(E11,Date!T:U,2,0))+30)))))*1),0)</f>
        <v>0</v>
      </c>
      <c r="Q11" s="37">
        <f t="shared" ca="1" si="0"/>
        <v>44616.75</v>
      </c>
      <c r="R11" s="37">
        <f t="shared" ca="1" si="1"/>
        <v>44616.871614351854</v>
      </c>
      <c r="T11" s="36" t="str">
        <f t="shared" si="2"/>
        <v/>
      </c>
      <c r="U11" s="36" t="str">
        <f t="shared" ref="U11:U22" si="3">IF(AND(ISNUMBER(E11),ISNUMBER(J11)),1,"")</f>
        <v/>
      </c>
    </row>
    <row r="12" spans="1:21" s="56" customFormat="1" ht="15.75" customHeight="1" x14ac:dyDescent="0.3">
      <c r="A12" s="49" t="s">
        <v>34</v>
      </c>
      <c r="B12" s="49" t="s">
        <v>61</v>
      </c>
      <c r="C12" s="49" t="s">
        <v>55</v>
      </c>
      <c r="D12" s="59" t="s">
        <v>94</v>
      </c>
      <c r="E12" s="46">
        <v>71</v>
      </c>
      <c r="F12" s="49" t="s">
        <v>56</v>
      </c>
      <c r="G12" s="46" t="s">
        <v>80</v>
      </c>
      <c r="H12" s="47" t="s">
        <v>101</v>
      </c>
      <c r="I12" s="47" t="s">
        <v>102</v>
      </c>
      <c r="J12" s="49">
        <v>91</v>
      </c>
      <c r="K12" s="49" t="s">
        <v>56</v>
      </c>
      <c r="L12" s="49" t="s">
        <v>64</v>
      </c>
      <c r="M12" s="49" t="s">
        <v>92</v>
      </c>
      <c r="N12" s="56" t="str">
        <f>IF((ISNUMBER(E12))=TRUE,((PROPER($E$5))&amp;" "&amp;(PROPER(E12))&amp;"-"&amp;(VLOOKUP(F12,Date!$N:$O,2,0))),PROPER(E12))</f>
        <v>Km 71-CD</v>
      </c>
      <c r="O12" s="56" t="str">
        <f>IF((ISNUMBER(J12))=TRUE,((PROPER($E$5))&amp;" "&amp;(PROPER(J12))&amp;"-"&amp;(VLOOKUP(K12,Date!$N:$O,2,0))),PROPER(J12))</f>
        <v>Km 91-CD</v>
      </c>
      <c r="P12" s="56">
        <f>IFERROR((IF(AND(C12="up",F12=Date!$N$2),626-E12,IF(AND(C12="up",F12=Date!$N$3),(626-(VLOOKUP(E12,Date!T:U,2,0))),IF(AND(C12="down",F12=Date!$N$2),E12+30,IF(AND(C12="down",F12=Date!$N$3),((VLOOKUP(E12,Date!T:U,2,0))+30)))))*1),0)</f>
        <v>0</v>
      </c>
      <c r="Q12" s="60">
        <f t="shared" ca="1" si="0"/>
        <v>44616.75</v>
      </c>
      <c r="R12" s="60">
        <f t="shared" ca="1" si="1"/>
        <v>44616.871614351854</v>
      </c>
      <c r="T12" s="56">
        <f t="shared" si="2"/>
        <v>-20</v>
      </c>
      <c r="U12" s="56">
        <f t="shared" si="3"/>
        <v>1</v>
      </c>
    </row>
    <row r="13" spans="1:21" s="54" customFormat="1" x14ac:dyDescent="0.3">
      <c r="A13" s="53" t="s">
        <v>27</v>
      </c>
      <c r="B13" s="53" t="s">
        <v>61</v>
      </c>
      <c r="C13" s="53" t="s">
        <v>55</v>
      </c>
      <c r="D13" s="50" t="s">
        <v>100</v>
      </c>
      <c r="E13" s="52">
        <v>462</v>
      </c>
      <c r="F13" s="53" t="s">
        <v>54</v>
      </c>
      <c r="G13" s="52" t="s">
        <v>80</v>
      </c>
      <c r="H13" s="47" t="s">
        <v>98</v>
      </c>
      <c r="I13" s="58" t="str">
        <f>""</f>
        <v/>
      </c>
      <c r="J13" s="53">
        <v>501</v>
      </c>
      <c r="K13" s="53" t="s">
        <v>54</v>
      </c>
      <c r="L13" s="45" t="s">
        <v>88</v>
      </c>
      <c r="M13" s="49" t="s">
        <v>99</v>
      </c>
      <c r="N13" s="54" t="str">
        <f>IF((ISNUMBER(E13))=TRUE,((PROPER($E$5))&amp;" "&amp;(PROPER(E13))&amp;"-"&amp;(VLOOKUP(F13,Date!$N:$O,2,0))),PROPER(E13))</f>
        <v>Km 462-RM</v>
      </c>
      <c r="O13" s="54" t="str">
        <f>IF((ISNUMBER(J13))=TRUE,((PROPER($E$5))&amp;" "&amp;(PROPER(J13))&amp;"-"&amp;(VLOOKUP(K13,Date!$N:$O,2,0))),PROPER(J13))</f>
        <v>Km 501-RM</v>
      </c>
      <c r="P13" s="54">
        <f>IFERROR((IF(AND(C13="up",F13=Date!$N$2),626-E13,IF(AND(C13="up",F13=Date!$N$3),(626-(VLOOKUP(E13,Date!T:U,2,0))),IF(AND(C13="down",F13=Date!$N$2),E13+30,IF(AND(C13="down",F13=Date!$N$3),((VLOOKUP(E13,Date!T:U,2,0))+30)))))*1),0)</f>
        <v>492</v>
      </c>
      <c r="Q13" s="55">
        <f t="shared" ca="1" si="0"/>
        <v>44616.75</v>
      </c>
      <c r="R13" s="55">
        <f t="shared" ca="1" si="1"/>
        <v>44616.871614351854</v>
      </c>
      <c r="T13" s="54">
        <f t="shared" si="2"/>
        <v>39</v>
      </c>
      <c r="U13" s="54">
        <f t="shared" si="3"/>
        <v>1</v>
      </c>
    </row>
    <row r="14" spans="1:21" s="40" customFormat="1" x14ac:dyDescent="0.3">
      <c r="A14" s="34" t="s">
        <v>41</v>
      </c>
      <c r="B14" s="34" t="s">
        <v>10</v>
      </c>
      <c r="C14" s="34" t="str">
        <f>""</f>
        <v/>
      </c>
      <c r="D14" s="39" t="str">
        <f>""</f>
        <v/>
      </c>
      <c r="E14" s="33" t="s">
        <v>35</v>
      </c>
      <c r="F14" s="34" t="s">
        <v>54</v>
      </c>
      <c r="G14" s="33" t="s">
        <v>10</v>
      </c>
      <c r="H14" s="42" t="str">
        <f>""</f>
        <v/>
      </c>
      <c r="I14" s="29" t="str">
        <f>""</f>
        <v/>
      </c>
      <c r="J14" s="32" t="str">
        <f>""</f>
        <v/>
      </c>
      <c r="K14" s="34" t="str">
        <f>""</f>
        <v/>
      </c>
      <c r="L14" s="27" t="str">
        <f>""</f>
        <v/>
      </c>
      <c r="M14" s="35" t="str">
        <f>""</f>
        <v/>
      </c>
      <c r="N14" s="43" t="str">
        <f>IF((ISNUMBER(E14))=TRUE,((PROPER($E$5))&amp;" "&amp;(PROPER(E14))&amp;"-"&amp;(VLOOKUP(F14,Date!$N:$O,2,0))),PROPER(E14))</f>
        <v>Cofiba</v>
      </c>
      <c r="O14" s="36" t="str">
        <f>IF((ISNUMBER(J14))=TRUE,((PROPER($E$5))&amp;" "&amp;(PROPER(J14))&amp;"-"&amp;(VLOOKUP(K14,Date!$N:$O,2,0))),PROPER(J14))</f>
        <v/>
      </c>
      <c r="P14" s="36">
        <f>IFERROR((IF(AND(C14="up",F14=Date!$N$2),626-E14,IF(AND(C14="up",F14=Date!$N$3),(626-(VLOOKUP(E14,Date!T:U,2,0))),IF(AND(C14="down",F14=Date!$N$2),E14+30,IF(AND(C14="down",F14=Date!$N$3),((VLOOKUP(E14,Date!T:U,2,0))+30)))))*1),0)</f>
        <v>0</v>
      </c>
      <c r="Q14" s="37">
        <f t="shared" ca="1" si="0"/>
        <v>44616.75</v>
      </c>
      <c r="R14" s="37">
        <f t="shared" ca="1" si="1"/>
        <v>44616.871614351854</v>
      </c>
      <c r="S14" s="36"/>
      <c r="T14" s="40" t="str">
        <f t="shared" si="2"/>
        <v/>
      </c>
      <c r="U14" s="40" t="str">
        <f t="shared" si="3"/>
        <v/>
      </c>
    </row>
    <row r="15" spans="1:21" s="30" customFormat="1" x14ac:dyDescent="0.3">
      <c r="A15" s="27" t="s">
        <v>37</v>
      </c>
      <c r="B15" s="27" t="s">
        <v>8</v>
      </c>
      <c r="C15" s="27" t="str">
        <f>""</f>
        <v/>
      </c>
      <c r="D15" s="65" t="str">
        <f>""</f>
        <v/>
      </c>
      <c r="E15" s="38" t="s">
        <v>32</v>
      </c>
      <c r="F15" s="27" t="s">
        <v>56</v>
      </c>
      <c r="G15" s="33" t="s">
        <v>74</v>
      </c>
      <c r="H15" s="42" t="str">
        <f>""</f>
        <v/>
      </c>
      <c r="I15" s="28" t="str">
        <f>""</f>
        <v/>
      </c>
      <c r="J15" s="32" t="str">
        <f>""</f>
        <v/>
      </c>
      <c r="K15" s="27" t="str">
        <f>""</f>
        <v/>
      </c>
      <c r="L15" s="27" t="str">
        <f>""</f>
        <v/>
      </c>
      <c r="M15" s="27" t="str">
        <f>""</f>
        <v/>
      </c>
      <c r="N15" s="30" t="str">
        <f>IF((ISNUMBER(E15))=TRUE,((PROPER($E$5))&amp;" "&amp;(PROPER(E15))&amp;"-"&amp;(VLOOKUP(F15,Date!$N:$O,2,0))),PROPER(E15))</f>
        <v>Boya Ecopetrol</v>
      </c>
      <c r="O15" s="30" t="str">
        <f>IF((ISNUMBER(J15))=TRUE,((PROPER($E$5))&amp;" "&amp;(PROPER(J15))&amp;"-"&amp;(VLOOKUP(K15,Date!$N:$O,2,0))),PROPER(J15))</f>
        <v/>
      </c>
      <c r="P15" s="30">
        <f>IFERROR((IF(AND(C15="up",F15=Date!$N$2),626-E15,IF(AND(C15="up",F15=Date!$N$3),(626-(VLOOKUP(E15,Date!T:U,2,0))),IF(AND(C15="down",F15=Date!$N$2),E15+30,IF(AND(C15="down",F15=Date!$N$3),((VLOOKUP(E15,Date!T:U,2,0))+30)))))*1),0)</f>
        <v>0</v>
      </c>
      <c r="Q15" s="31">
        <f t="shared" ca="1" si="0"/>
        <v>44616.75</v>
      </c>
      <c r="R15" s="31">
        <f t="shared" ca="1" si="1"/>
        <v>44616.871614351854</v>
      </c>
      <c r="T15" s="30" t="str">
        <f t="shared" si="2"/>
        <v/>
      </c>
      <c r="U15" s="30" t="str">
        <f t="shared" si="3"/>
        <v/>
      </c>
    </row>
    <row r="16" spans="1:21" s="57" customFormat="1" x14ac:dyDescent="0.3">
      <c r="A16" s="53" t="s">
        <v>33</v>
      </c>
      <c r="B16" s="53" t="s">
        <v>5</v>
      </c>
      <c r="C16" s="53" t="s">
        <v>53</v>
      </c>
      <c r="D16" s="50" t="s">
        <v>93</v>
      </c>
      <c r="E16" s="52">
        <v>602</v>
      </c>
      <c r="F16" s="53" t="s">
        <v>54</v>
      </c>
      <c r="G16" s="52" t="s">
        <v>80</v>
      </c>
      <c r="H16" s="52" t="s">
        <v>91</v>
      </c>
      <c r="I16" s="48" t="str">
        <f>""</f>
        <v/>
      </c>
      <c r="J16" s="51">
        <v>592</v>
      </c>
      <c r="K16" s="53" t="s">
        <v>54</v>
      </c>
      <c r="L16" s="45" t="s">
        <v>24</v>
      </c>
      <c r="M16" s="45" t="s">
        <v>96</v>
      </c>
      <c r="N16" s="56" t="str">
        <f>IF((ISNUMBER(E16))=TRUE,((PROPER($E$5))&amp;" "&amp;(PROPER(E16))&amp;"-"&amp;(VLOOKUP(F16,Date!$N:$O,2,0))),PROPER(E16))</f>
        <v>Km 602-RM</v>
      </c>
      <c r="O16" s="54" t="str">
        <f>IF((ISNUMBER(J16))=TRUE,((PROPER($E$5))&amp;" "&amp;(PROPER(J16))&amp;"-"&amp;(VLOOKUP(K16,Date!$N:$O,2,0))),PROPER(J16))</f>
        <v>Km 592-RM</v>
      </c>
      <c r="P16" s="54">
        <f>IFERROR((IF(AND(C16="up",F16=Date!$N$2),626-E16,IF(AND(C16="up",F16=Date!$N$3),(626-(VLOOKUP(E16,Date!T:U,2,0))),IF(AND(C16="down",F16=Date!$N$2),E16+30,IF(AND(C16="down",F16=Date!$N$3),((VLOOKUP(E16,Date!T:U,2,0))+30)))))*1),0)</f>
        <v>24</v>
      </c>
      <c r="Q16" s="55">
        <f t="shared" ca="1" si="0"/>
        <v>44616.75</v>
      </c>
      <c r="R16" s="55">
        <f t="shared" ca="1" si="1"/>
        <v>44616.871614351854</v>
      </c>
      <c r="S16" s="54"/>
      <c r="T16" s="57">
        <f t="shared" si="2"/>
        <v>10</v>
      </c>
      <c r="U16" s="57">
        <f t="shared" si="3"/>
        <v>1</v>
      </c>
    </row>
    <row r="17" spans="1:21" s="57" customFormat="1" x14ac:dyDescent="0.3">
      <c r="A17" s="53" t="s">
        <v>23</v>
      </c>
      <c r="B17" s="53" t="s">
        <v>5</v>
      </c>
      <c r="C17" s="53" t="s">
        <v>53</v>
      </c>
      <c r="D17" s="50" t="s">
        <v>103</v>
      </c>
      <c r="E17" s="52">
        <v>505</v>
      </c>
      <c r="F17" s="53" t="s">
        <v>54</v>
      </c>
      <c r="G17" s="52" t="s">
        <v>69</v>
      </c>
      <c r="H17" s="52" t="s">
        <v>95</v>
      </c>
      <c r="I17" s="48" t="str">
        <f>""</f>
        <v/>
      </c>
      <c r="J17" s="51" t="str">
        <f>""</f>
        <v/>
      </c>
      <c r="K17" s="53" t="s">
        <v>54</v>
      </c>
      <c r="L17" s="45" t="s">
        <v>24</v>
      </c>
      <c r="M17" s="45" t="s">
        <v>97</v>
      </c>
      <c r="N17" s="56" t="str">
        <f>IF((ISNUMBER(E17))=TRUE,((PROPER($E$5))&amp;" "&amp;(PROPER(E17))&amp;"-"&amp;(VLOOKUP(F17,Date!$N:$O,2,0))),PROPER(E17))</f>
        <v>Km 505-RM</v>
      </c>
      <c r="O17" s="54" t="str">
        <f>IF((ISNUMBER(J17))=TRUE,((PROPER($E$5))&amp;" "&amp;(PROPER(J17))&amp;"-"&amp;(VLOOKUP(K17,Date!$N:$O,2,0))),PROPER(J17))</f>
        <v/>
      </c>
      <c r="P17" s="54">
        <f>IFERROR((IF(AND(C17="up",F17=Date!$N$2),626-E17,IF(AND(C17="up",F17=Date!$N$3),(626-(VLOOKUP(E17,Date!T:U,2,0))),IF(AND(C17="down",F17=Date!$N$2),E17+30,IF(AND(C17="down",F17=Date!$N$3),((VLOOKUP(E17,Date!T:U,2,0))+30)))))*1),0)</f>
        <v>121</v>
      </c>
      <c r="Q17" s="55">
        <f t="shared" ca="1" si="0"/>
        <v>44616.75</v>
      </c>
      <c r="R17" s="55">
        <f t="shared" ca="1" si="1"/>
        <v>44616.871614351854</v>
      </c>
      <c r="S17" s="54"/>
      <c r="T17" s="57" t="str">
        <f t="shared" si="2"/>
        <v/>
      </c>
      <c r="U17" s="57" t="str">
        <f t="shared" si="3"/>
        <v/>
      </c>
    </row>
    <row r="18" spans="1:21" s="40" customFormat="1" x14ac:dyDescent="0.3">
      <c r="A18" s="32" t="s">
        <v>39</v>
      </c>
      <c r="B18" s="32" t="s">
        <v>10</v>
      </c>
      <c r="C18" s="35" t="str">
        <f>""</f>
        <v/>
      </c>
      <c r="D18" s="32" t="str">
        <f>""</f>
        <v/>
      </c>
      <c r="E18" s="33" t="s">
        <v>35</v>
      </c>
      <c r="F18" s="32" t="s">
        <v>54</v>
      </c>
      <c r="G18" s="33" t="s">
        <v>10</v>
      </c>
      <c r="H18" s="33" t="str">
        <f>""</f>
        <v/>
      </c>
      <c r="I18" s="28" t="str">
        <f>""</f>
        <v/>
      </c>
      <c r="J18" s="32" t="str">
        <f>""</f>
        <v/>
      </c>
      <c r="K18" s="32" t="str">
        <f>""</f>
        <v/>
      </c>
      <c r="L18" s="32" t="s">
        <v>87</v>
      </c>
      <c r="M18" s="32" t="str">
        <f>""</f>
        <v/>
      </c>
      <c r="N18" s="40" t="str">
        <f>IF((ISNUMBER(E18))=TRUE,((PROPER($E$5))&amp;" "&amp;(PROPER(E18))&amp;"-"&amp;(VLOOKUP(F18,Date!$N:$O,2,0))),PROPER(E18))</f>
        <v>Cofiba</v>
      </c>
      <c r="O18" s="40" t="str">
        <f>IF((ISNUMBER(J18))=TRUE,((PROPER($E$5))&amp;" "&amp;(PROPER(J18))&amp;"-"&amp;(VLOOKUP(K18,Date!$N:$O,2,0))),PROPER(J18))</f>
        <v/>
      </c>
      <c r="P18" s="40">
        <f>IFERROR((IF(AND(C18="up",F18=Date!$N$2),626-E18,IF(AND(C18="up",F18=Date!$N$3),(626-(VLOOKUP(E18,Date!T:U,2,0))),IF(AND(C18="down",F18=Date!$N$2),E18+30,IF(AND(C18="down",F18=Date!$N$3),((VLOOKUP(E18,Date!T:U,2,0))+30)))))*1),0)</f>
        <v>0</v>
      </c>
      <c r="Q18" s="41">
        <f t="shared" ca="1" si="0"/>
        <v>44616.75</v>
      </c>
      <c r="R18" s="41">
        <f t="shared" ca="1" si="1"/>
        <v>44616.871614351854</v>
      </c>
      <c r="T18" s="40" t="str">
        <f>IF(AND(ISNUMBER(E18),ISNUMBER(J18)),(IF(C18="Up",(IF(AND(K18="Canal del dique",F18="Canal del dique"),(J18-E18),IF(AND(K18="Rio Magdalena",F18="Canal del dique"),-((J18-90)+E18),IF(AND(K18="Rio Magdalena",F18="Rio Magdalena"),-(J18-E18))))),IF(C18="Down",(IF(AND(K18="Canal del dique",F18="Canal del dique"),(E18-J18),IF(AND(K18="Rio Magdalena",F18="Canal del dique"),((J18-90)+E18),IF(AND(K18="Rio Magdalena",F18="Rio Magdalena"),(J18-E18))))),IF(C18="Feeder CTG-BAQ",IF(AND(K18="Canal del dique",F18="Canal del dique"),(J18-E18),IF(AND(K18="Rio Magdalena",F18="Canal del dique"),-((90-J18)+E18),IF(AND(K18="Canal del dique",F18="Rio Magdalena"),((90-E18)+J18),IF(AND(K18="Rio Magdalena",F18="Rio Magdalena"),(J18-E18))))),IF(C18="Feeder BAQ-CTG",IF(AND(K18="Canal del dique",F18="Canal del dique"),-(J18-E18),IF(AND(K18="Rio Magdalena",F18="Canal del dique"),((90-J18)+E18),IF(AND(K18="Canal del dique",F18="Rio Magdalena"),-((90-E18)+J18),IF(AND(K18="Rio Magdalena",F18="Rio Magdalena"),-(J18-E18)))))))))),"")</f>
        <v/>
      </c>
      <c r="U18" s="40" t="str">
        <f>IF(AND(ISNUMBER(E18),ISNUMBER(J18)),1,"")</f>
        <v/>
      </c>
    </row>
    <row r="19" spans="1:21" s="40" customFormat="1" x14ac:dyDescent="0.3">
      <c r="A19" s="32" t="s">
        <v>21</v>
      </c>
      <c r="B19" s="32" t="s">
        <v>8</v>
      </c>
      <c r="C19" s="35" t="str">
        <f>""</f>
        <v/>
      </c>
      <c r="D19" s="39" t="str">
        <f>""</f>
        <v/>
      </c>
      <c r="E19" s="33">
        <v>432</v>
      </c>
      <c r="F19" s="32" t="s">
        <v>54</v>
      </c>
      <c r="G19" s="33" t="s">
        <v>67</v>
      </c>
      <c r="H19" s="33" t="str">
        <f>""</f>
        <v/>
      </c>
      <c r="I19" s="28" t="str">
        <f>""</f>
        <v/>
      </c>
      <c r="J19" s="32" t="str">
        <f>""</f>
        <v/>
      </c>
      <c r="K19" s="32" t="str">
        <f>""</f>
        <v/>
      </c>
      <c r="L19" s="32" t="str">
        <f>""</f>
        <v/>
      </c>
      <c r="M19" s="32" t="str">
        <f>""</f>
        <v/>
      </c>
      <c r="N19" s="40" t="str">
        <f>IF((ISNUMBER(E19))=TRUE,((PROPER($E$5))&amp;" "&amp;(PROPER(E19))&amp;"-"&amp;(VLOOKUP(F19,Date!$N:$O,2,0))),PROPER(E19))</f>
        <v>Km 432-RM</v>
      </c>
      <c r="O19" s="40" t="str">
        <f>IF((ISNUMBER(J19))=TRUE,((PROPER($E$5))&amp;" "&amp;(PROPER(J19))&amp;"-"&amp;(VLOOKUP(K19,Date!$N:$O,2,0))),PROPER(J19))</f>
        <v/>
      </c>
      <c r="P19" s="40">
        <f>IFERROR((IF(AND(C19="up",F19=Date!$N$2),626-E19,IF(AND(C19="up",F19=Date!$N$3),(626-(VLOOKUP(E19,Date!T:U,2,0))),IF(AND(C19="down",F19=Date!$N$2),E19+30,IF(AND(C19="down",F19=Date!$N$3),((VLOOKUP(E19,Date!T:U,2,0))+30)))))*1),0)</f>
        <v>0</v>
      </c>
      <c r="Q19" s="41">
        <f t="shared" ca="1" si="0"/>
        <v>44616.75</v>
      </c>
      <c r="R19" s="41">
        <f t="shared" ca="1" si="1"/>
        <v>44616.871614351854</v>
      </c>
      <c r="T19" s="40" t="str">
        <f>IF(AND(ISNUMBER(E19),ISNUMBER(J19)),(IF(C19="Up",(IF(AND(K19="Canal del dique",F19="Canal del dique"),(J19-E19),IF(AND(K19="Rio Magdalena",F19="Canal del dique"),-((J19-90)+E19),IF(AND(K19="Rio Magdalena",F19="Rio Magdalena"),-(J19-E19))))),IF(C19="Down",(IF(AND(K19="Canal del dique",F19="Canal del dique"),(E19-J19),IF(AND(K19="Rio Magdalena",F19="Canal del dique"),((J19-90)+E19),IF(AND(K19="Rio Magdalena",F19="Rio Magdalena"),(J19-E19))))),IF(C19="Feeder CTG-BAQ",IF(AND(K19="Canal del dique",F19="Canal del dique"),(J19-E19),IF(AND(K19="Rio Magdalena",F19="Canal del dique"),-((90-J19)+E19),IF(AND(K19="Canal del dique",F19="Rio Magdalena"),((90-E19)+J19),IF(AND(K19="Rio Magdalena",F19="Rio Magdalena"),(J19-E19))))),IF(C19="Feeder BAQ-CTG",IF(AND(K19="Canal del dique",F19="Canal del dique"),-(J19-E19),IF(AND(K19="Rio Magdalena",F19="Canal del dique"),((90-J19)+E19),IF(AND(K19="Canal del dique",F19="Rio Magdalena"),-((90-E19)+J19),IF(AND(K19="Rio Magdalena",F19="Rio Magdalena"),-(J19-E19)))))))))),"")</f>
        <v/>
      </c>
      <c r="U19" s="40" t="str">
        <f>IF(AND(ISNUMBER(E19),ISNUMBER(J19)),1,"")</f>
        <v/>
      </c>
    </row>
    <row r="20" spans="1:21" s="30" customFormat="1" x14ac:dyDescent="0.3">
      <c r="A20" s="35" t="s">
        <v>26</v>
      </c>
      <c r="B20" s="35" t="s">
        <v>10</v>
      </c>
      <c r="C20" s="35" t="str">
        <f>""</f>
        <v/>
      </c>
      <c r="D20" s="39" t="str">
        <f>""</f>
        <v/>
      </c>
      <c r="E20" s="38" t="s">
        <v>35</v>
      </c>
      <c r="F20" s="35" t="s">
        <v>54</v>
      </c>
      <c r="G20" s="33" t="s">
        <v>10</v>
      </c>
      <c r="H20" s="29" t="str">
        <f>""</f>
        <v/>
      </c>
      <c r="I20" s="29" t="str">
        <f>""</f>
        <v/>
      </c>
      <c r="J20" s="27" t="str">
        <f>""</f>
        <v/>
      </c>
      <c r="K20" s="27" t="str">
        <f>""</f>
        <v/>
      </c>
      <c r="L20" s="27" t="str">
        <f>""</f>
        <v/>
      </c>
      <c r="M20" s="27" t="str">
        <f>""</f>
        <v/>
      </c>
      <c r="N20" s="30" t="str">
        <f>IF((ISNUMBER(E20))=TRUE,((PROPER($E$5))&amp;" "&amp;(PROPER(E20))&amp;"-"&amp;(VLOOKUP(F20,Date!$N:$O,2,0))),PROPER(E20))</f>
        <v>Cofiba</v>
      </c>
      <c r="O20" s="30" t="str">
        <f>IF((ISNUMBER(J20))=TRUE,((PROPER($E$5))&amp;" "&amp;(PROPER(J20))&amp;"-"&amp;(VLOOKUP(K20,Date!$N:$O,2,0))),PROPER(J20))</f>
        <v/>
      </c>
      <c r="P20" s="30">
        <f>IFERROR((IF(AND(C20="up",F20=Date!$N$2),626-E20,IF(AND(C20="up",F20=Date!$N$3),(626-(VLOOKUP(E20,Date!T:U,2,0))),IF(AND(C20="down",F20=Date!$N$2),E20+30,IF(AND(C20="down",F20=Date!$N$3),((VLOOKUP(E20,Date!T:U,2,0))+30)))))*1),0)</f>
        <v>0</v>
      </c>
      <c r="Q20" s="31">
        <f t="shared" ca="1" si="0"/>
        <v>44616.75</v>
      </c>
      <c r="R20" s="31">
        <f t="shared" ca="1" si="1"/>
        <v>44616.871614351854</v>
      </c>
      <c r="T20" s="30" t="str">
        <f t="shared" si="2"/>
        <v/>
      </c>
      <c r="U20" s="30" t="str">
        <f t="shared" si="3"/>
        <v/>
      </c>
    </row>
    <row r="21" spans="1:21" s="30" customFormat="1" ht="16.5" customHeight="1" x14ac:dyDescent="0.3">
      <c r="A21" s="27" t="s">
        <v>38</v>
      </c>
      <c r="B21" s="27" t="s">
        <v>8</v>
      </c>
      <c r="C21" s="27" t="str">
        <f>""</f>
        <v/>
      </c>
      <c r="D21" s="39" t="str">
        <f>""</f>
        <v/>
      </c>
      <c r="E21" s="38">
        <v>432</v>
      </c>
      <c r="F21" s="27" t="s">
        <v>54</v>
      </c>
      <c r="G21" s="33" t="s">
        <v>74</v>
      </c>
      <c r="H21" s="64" t="str">
        <f>""</f>
        <v/>
      </c>
      <c r="I21" s="29" t="str">
        <f>""</f>
        <v/>
      </c>
      <c r="J21" s="27" t="str">
        <f>""</f>
        <v/>
      </c>
      <c r="K21" s="27" t="str">
        <f>""</f>
        <v/>
      </c>
      <c r="L21" s="35" t="str">
        <f>""</f>
        <v/>
      </c>
      <c r="M21" s="35" t="str">
        <f>""</f>
        <v/>
      </c>
      <c r="N21" s="30" t="str">
        <f>IF((ISNUMBER(E21))=TRUE,((PROPER($E$5))&amp;" "&amp;(PROPER(E21))&amp;"-"&amp;(VLOOKUP(F21,Date!$N:$O,2,0))),PROPER(E21))</f>
        <v>Km 432-RM</v>
      </c>
      <c r="O21" s="30" t="str">
        <f>IF((ISNUMBER(J21))=TRUE,((PROPER($E$5))&amp;" "&amp;(PROPER(J21))&amp;"-"&amp;(VLOOKUP(K21,Date!$N:$O,2,0))),PROPER(J21))</f>
        <v/>
      </c>
      <c r="P21" s="30">
        <f>IFERROR((IF(AND(C21="up",F21=Date!$N$2),626-E21,IF(AND(C21="up",F21=Date!$N$3),(626-(VLOOKUP(E21,Date!T:U,2,0))),IF(AND(C21="down",F21=Date!$N$2),E21+30,IF(AND(C21="down",F21=Date!$N$3),((VLOOKUP(E21,Date!T:U,2,0))+30)))))*1),0)</f>
        <v>0</v>
      </c>
      <c r="Q21" s="31">
        <f t="shared" ca="1" si="0"/>
        <v>44616.75</v>
      </c>
      <c r="R21" s="31">
        <f t="shared" ca="1" si="1"/>
        <v>44616.871614351854</v>
      </c>
      <c r="T21" s="30" t="str">
        <f>IF(AND(ISNUMBER(E21),ISNUMBER(J21)),(IF(C21="Up",(IF(AND(K21="Canal del dique",F21="Canal del dique"),(J21-E21),IF(AND(K21="Rio Magdalena",F21="Canal del dique"),-((J21-90)+E21),IF(AND(K21="Rio Magdalena",F21="Rio Magdalena"),-(J21-E21))))),IF(C21="Down",(IF(AND(K21="Canal del dique",F21="Canal del dique"),(E21-J21),IF(AND(K21="Rio Magdalena",F21="Canal del dique"),((J21-90)+E21),IF(AND(K21="Rio Magdalena",F21="Rio Magdalena"),(J21-E21))))),IF(C21="Feeder CTG-BAQ",IF(AND(K21="Canal del dique",F21="Canal del dique"),(J21-E21),IF(AND(K21="Rio Magdalena",F21="Canal del dique"),-((90-J21)+E21),IF(AND(K21="Canal del dique",F21="Rio Magdalena"),((90-E21)+J21),IF(AND(K21="Rio Magdalena",F21="Rio Magdalena"),(J21-E21))))),IF(C21="Feeder BAQ-CTG",IF(AND(K21="Canal del dique",F21="Canal del dique"),-(J21-E21),IF(AND(K21="Rio Magdalena",F21="Canal del dique"),((90-J21)+E21),IF(AND(K21="Canal del dique",F21="Rio Magdalena"),-((90-E21)+J21),IF(AND(K21="Rio Magdalena",F21="Rio Magdalena"),-(J21-E21)))))))))),"")</f>
        <v/>
      </c>
      <c r="U21" s="30" t="str">
        <f t="shared" si="3"/>
        <v/>
      </c>
    </row>
    <row r="22" spans="1:21" s="30" customFormat="1" ht="16.5" customHeight="1" x14ac:dyDescent="0.3">
      <c r="A22" s="27" t="s">
        <v>79</v>
      </c>
      <c r="B22" s="27" t="s">
        <v>8</v>
      </c>
      <c r="C22" s="27" t="str">
        <f>""</f>
        <v/>
      </c>
      <c r="D22" s="39" t="str">
        <f>""</f>
        <v/>
      </c>
      <c r="E22" s="38" t="s">
        <v>81</v>
      </c>
      <c r="F22" s="27" t="s">
        <v>56</v>
      </c>
      <c r="G22" s="33" t="s">
        <v>74</v>
      </c>
      <c r="H22" s="42" t="str">
        <f>""</f>
        <v/>
      </c>
      <c r="I22" s="28" t="str">
        <f>""</f>
        <v/>
      </c>
      <c r="J22" s="27" t="str">
        <f>""</f>
        <v/>
      </c>
      <c r="K22" s="27" t="str">
        <f>""</f>
        <v/>
      </c>
      <c r="L22" s="27" t="str">
        <f>""</f>
        <v/>
      </c>
      <c r="M22" s="27" t="str">
        <f>""</f>
        <v/>
      </c>
      <c r="N22" s="30" t="str">
        <f>IF((ISNUMBER(E22))=TRUE,((PROPER($E$5))&amp;" "&amp;(PROPER(E22))&amp;"-"&amp;(VLOOKUP(F22,Date!$N:$O,2,0))),PROPER(E22))</f>
        <v>Mardique</v>
      </c>
      <c r="O22" s="30" t="str">
        <f>IF((ISNUMBER(J22))=TRUE,((PROPER($E$5))&amp;" "&amp;(PROPER(J22))&amp;"-"&amp;(VLOOKUP(K22,Date!$N:$O,2,0))),PROPER(J22))</f>
        <v/>
      </c>
      <c r="P22" s="30">
        <f>IFERROR((IF(AND(C22="up",F22=Date!$N$2),626-E22,IF(AND(C22="up",F22=Date!$N$3),(626-(VLOOKUP(E22,Date!T:U,2,0))),IF(AND(C22="down",F22=Date!$N$2),E22+30,IF(AND(C22="down",F22=Date!$N$3),((VLOOKUP(E22,Date!T:U,2,0))+30)))))*1),0)</f>
        <v>0</v>
      </c>
      <c r="Q22" s="31">
        <f t="shared" ca="1" si="0"/>
        <v>44616.75</v>
      </c>
      <c r="R22" s="31">
        <f t="shared" ca="1" si="1"/>
        <v>44616.871614351854</v>
      </c>
      <c r="T22" s="30" t="str">
        <f t="shared" si="2"/>
        <v/>
      </c>
      <c r="U22" s="30" t="str">
        <f t="shared" si="3"/>
        <v/>
      </c>
    </row>
    <row r="23" spans="1:21" s="40" customFormat="1" x14ac:dyDescent="0.3">
      <c r="Q23" s="41"/>
      <c r="R23" s="41"/>
    </row>
    <row r="24" spans="1:21" s="40" customFormat="1" x14ac:dyDescent="0.3">
      <c r="C24" s="71"/>
      <c r="Q24" s="41"/>
      <c r="R24" s="41"/>
    </row>
    <row r="25" spans="1:21" s="40" customFormat="1" x14ac:dyDescent="0.3">
      <c r="Q25" s="41"/>
      <c r="R25" s="41"/>
    </row>
    <row r="26" spans="1:21" s="40" customFormat="1" x14ac:dyDescent="0.3">
      <c r="Q26" s="41"/>
      <c r="R26" s="41"/>
    </row>
    <row r="37" spans="8:8" x14ac:dyDescent="0.3">
      <c r="H37" s="26"/>
    </row>
  </sheetData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lanco">
                <anchor moveWithCells="1" sizeWithCells="1">
                  <from>
                    <xdr:col>5</xdr:col>
                    <xdr:colOff>83820</xdr:colOff>
                    <xdr:row>1</xdr:row>
                    <xdr:rowOff>0</xdr:rowOff>
                  </from>
                  <to>
                    <xdr:col>6</xdr:col>
                    <xdr:colOff>45720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Date!$N$2:$N$4</xm:f>
          </x14:formula1>
          <xm:sqref>F6:F22 K6:K22</xm:sqref>
        </x14:dataValidation>
        <x14:dataValidation type="list" allowBlank="1" showInputMessage="1" showErrorMessage="1">
          <x14:formula1>
            <xm:f>Date!$J$2:$J$9</xm:f>
          </x14:formula1>
          <xm:sqref>B6:B22</xm:sqref>
        </x14:dataValidation>
        <x14:dataValidation type="list" allowBlank="1" showInputMessage="1" showErrorMessage="1">
          <x14:formula1>
            <xm:f>Date!$Q$2:$Q$5</xm:f>
          </x14:formula1>
          <xm:sqref>C6:C22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9"/>
  <sheetViews>
    <sheetView zoomScale="80" zoomScaleNormal="80" workbookViewId="0">
      <selection activeCell="L15" sqref="L15"/>
    </sheetView>
  </sheetViews>
  <sheetFormatPr baseColWidth="10" defaultColWidth="9.109375" defaultRowHeight="14.4" x14ac:dyDescent="0.3"/>
  <cols>
    <col min="1" max="1" width="16.6640625" style="14" bestFit="1" customWidth="1"/>
    <col min="2" max="2" width="11.5546875" style="5" bestFit="1" customWidth="1"/>
    <col min="4" max="4" width="11.33203125" bestFit="1" customWidth="1"/>
    <col min="10" max="10" width="18" bestFit="1" customWidth="1"/>
    <col min="12" max="12" width="18" bestFit="1" customWidth="1"/>
    <col min="14" max="14" width="17" bestFit="1" customWidth="1"/>
    <col min="15" max="15" width="11" bestFit="1" customWidth="1"/>
    <col min="17" max="17" width="16.6640625" bestFit="1" customWidth="1"/>
  </cols>
  <sheetData>
    <row r="1" spans="10:17" x14ac:dyDescent="0.3">
      <c r="J1" t="s">
        <v>1</v>
      </c>
      <c r="L1" t="s">
        <v>14</v>
      </c>
      <c r="N1" t="s">
        <v>47</v>
      </c>
      <c r="O1" t="s">
        <v>59</v>
      </c>
      <c r="Q1" t="s">
        <v>45</v>
      </c>
    </row>
    <row r="2" spans="10:17" x14ac:dyDescent="0.3">
      <c r="J2" t="s">
        <v>4</v>
      </c>
      <c r="K2" t="s">
        <v>53</v>
      </c>
      <c r="L2" t="s">
        <v>38</v>
      </c>
      <c r="N2" t="s">
        <v>54</v>
      </c>
      <c r="O2" t="s">
        <v>60</v>
      </c>
      <c r="Q2" t="s">
        <v>53</v>
      </c>
    </row>
    <row r="3" spans="10:17" x14ac:dyDescent="0.3">
      <c r="J3" t="s">
        <v>61</v>
      </c>
      <c r="K3" t="s">
        <v>55</v>
      </c>
      <c r="L3" t="s">
        <v>26</v>
      </c>
      <c r="N3" t="s">
        <v>56</v>
      </c>
      <c r="O3" t="s">
        <v>62</v>
      </c>
      <c r="Q3" t="s">
        <v>55</v>
      </c>
    </row>
    <row r="4" spans="10:17" x14ac:dyDescent="0.3">
      <c r="J4" t="s">
        <v>5</v>
      </c>
      <c r="K4" t="s">
        <v>53</v>
      </c>
      <c r="L4" t="s">
        <v>27</v>
      </c>
      <c r="N4" t="s">
        <v>63</v>
      </c>
      <c r="O4" t="s">
        <v>64</v>
      </c>
      <c r="Q4" t="s">
        <v>85</v>
      </c>
    </row>
    <row r="5" spans="10:17" x14ac:dyDescent="0.3">
      <c r="J5" t="s">
        <v>6</v>
      </c>
      <c r="K5" t="s">
        <v>55</v>
      </c>
      <c r="L5" t="s">
        <v>31</v>
      </c>
      <c r="Q5" t="s">
        <v>86</v>
      </c>
    </row>
    <row r="6" spans="10:17" x14ac:dyDescent="0.3">
      <c r="J6" t="s">
        <v>9</v>
      </c>
      <c r="L6" t="s">
        <v>23</v>
      </c>
    </row>
    <row r="7" spans="10:17" x14ac:dyDescent="0.3">
      <c r="J7" t="s">
        <v>8</v>
      </c>
      <c r="L7" t="s">
        <v>36</v>
      </c>
    </row>
    <row r="8" spans="10:17" x14ac:dyDescent="0.3">
      <c r="J8" t="s">
        <v>7</v>
      </c>
      <c r="L8" t="s">
        <v>21</v>
      </c>
    </row>
    <row r="9" spans="10:17" x14ac:dyDescent="0.3">
      <c r="J9" t="s">
        <v>10</v>
      </c>
      <c r="L9" t="s">
        <v>22</v>
      </c>
    </row>
    <row r="10" spans="10:17" x14ac:dyDescent="0.3">
      <c r="L10" t="s">
        <v>40</v>
      </c>
    </row>
    <row r="11" spans="10:17" x14ac:dyDescent="0.3">
      <c r="L11" t="s">
        <v>29</v>
      </c>
    </row>
    <row r="12" spans="10:17" x14ac:dyDescent="0.3">
      <c r="L12" t="s">
        <v>25</v>
      </c>
    </row>
    <row r="13" spans="10:17" x14ac:dyDescent="0.3">
      <c r="L13" t="s">
        <v>41</v>
      </c>
    </row>
    <row r="14" spans="10:17" x14ac:dyDescent="0.3">
      <c r="L14" t="s">
        <v>65</v>
      </c>
    </row>
    <row r="15" spans="10:17" x14ac:dyDescent="0.3">
      <c r="L15" t="s">
        <v>28</v>
      </c>
    </row>
    <row r="16" spans="10:17" x14ac:dyDescent="0.3">
      <c r="L16" t="s">
        <v>39</v>
      </c>
    </row>
    <row r="17" spans="12:12" x14ac:dyDescent="0.3">
      <c r="L17" t="s">
        <v>34</v>
      </c>
    </row>
    <row r="18" spans="12:12" x14ac:dyDescent="0.3">
      <c r="L18" t="s">
        <v>37</v>
      </c>
    </row>
    <row r="19" spans="12:12" x14ac:dyDescent="0.3">
      <c r="L19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689:Q4990"/>
  <sheetViews>
    <sheetView zoomScale="80" zoomScaleNormal="80" workbookViewId="0">
      <pane ySplit="1" topLeftCell="A2" activePane="bottomLeft" state="frozen"/>
      <selection pane="bottomLeft" activeCell="B4" sqref="B4"/>
    </sheetView>
  </sheetViews>
  <sheetFormatPr baseColWidth="10" defaultColWidth="9.109375" defaultRowHeight="14.4" x14ac:dyDescent="0.3"/>
  <cols>
    <col min="1" max="2" width="18" bestFit="1" customWidth="1"/>
    <col min="3" max="3" width="16.6640625" bestFit="1" customWidth="1"/>
    <col min="4" max="4" width="20.109375" bestFit="1" customWidth="1"/>
    <col min="5" max="5" width="30" bestFit="1" customWidth="1"/>
    <col min="6" max="6" width="17" bestFit="1" customWidth="1"/>
    <col min="7" max="7" width="25.44140625" customWidth="1"/>
    <col min="8" max="8" width="34.33203125" customWidth="1"/>
    <col min="14" max="15" width="16.6640625" style="14" bestFit="1" customWidth="1"/>
    <col min="16" max="16" width="37.44140625" style="68" bestFit="1" customWidth="1"/>
    <col min="17" max="17" width="37.44140625" style="67" bestFit="1" customWidth="1"/>
  </cols>
  <sheetData>
    <row r="689" spans="8:8" x14ac:dyDescent="0.3">
      <c r="H689" s="4"/>
    </row>
    <row r="1502" spans="8:8" x14ac:dyDescent="0.3">
      <c r="H1502" s="4"/>
    </row>
    <row r="1519" spans="8:8" x14ac:dyDescent="0.3">
      <c r="H1519" s="4"/>
    </row>
    <row r="1537" spans="8:8" x14ac:dyDescent="0.3">
      <c r="H1537" s="4"/>
    </row>
    <row r="1554" spans="8:8" x14ac:dyDescent="0.3">
      <c r="H1554" s="4"/>
    </row>
    <row r="1570" spans="8:8" x14ac:dyDescent="0.3">
      <c r="H1570" s="4"/>
    </row>
    <row r="1587" spans="8:8" x14ac:dyDescent="0.3">
      <c r="H1587" s="4"/>
    </row>
    <row r="1604" spans="8:8" x14ac:dyDescent="0.3">
      <c r="H1604" s="4"/>
    </row>
    <row r="1621" spans="8:8" x14ac:dyDescent="0.3">
      <c r="H1621" s="4"/>
    </row>
    <row r="1637" spans="8:8" x14ac:dyDescent="0.3">
      <c r="H1637" s="4"/>
    </row>
    <row r="4733" spans="8:8" x14ac:dyDescent="0.3">
      <c r="H4733" s="4"/>
    </row>
    <row r="4737" spans="8:8" x14ac:dyDescent="0.3">
      <c r="H4737" s="4"/>
    </row>
    <row r="4752" spans="8:8" x14ac:dyDescent="0.3">
      <c r="H4752" s="4"/>
    </row>
    <row r="4756" spans="8:8" x14ac:dyDescent="0.3">
      <c r="H4756" s="4"/>
    </row>
    <row r="4769" spans="8:8" x14ac:dyDescent="0.3">
      <c r="H4769" s="4"/>
    </row>
    <row r="4773" spans="8:8" x14ac:dyDescent="0.3">
      <c r="H4773" s="4"/>
    </row>
    <row r="4787" spans="8:8" x14ac:dyDescent="0.3">
      <c r="H4787" s="4"/>
    </row>
    <row r="4791" spans="8:8" x14ac:dyDescent="0.3">
      <c r="H4791" s="4"/>
    </row>
    <row r="4804" spans="8:8" x14ac:dyDescent="0.3">
      <c r="H4804" s="4"/>
    </row>
    <row r="4808" spans="8:8" x14ac:dyDescent="0.3">
      <c r="H4808" s="4"/>
    </row>
    <row r="4822" spans="8:8" x14ac:dyDescent="0.3">
      <c r="H4822" s="4"/>
    </row>
    <row r="4825" spans="8:8" x14ac:dyDescent="0.3">
      <c r="H4825" s="4"/>
    </row>
    <row r="4839" spans="8:8" x14ac:dyDescent="0.3">
      <c r="H4839" s="4"/>
    </row>
    <row r="4856" spans="8:8" x14ac:dyDescent="0.3">
      <c r="H4856" s="4"/>
    </row>
    <row r="4873" spans="8:8" x14ac:dyDescent="0.3">
      <c r="H4873" s="4"/>
    </row>
    <row r="4890" spans="8:8" x14ac:dyDescent="0.3">
      <c r="H4890" s="4"/>
    </row>
    <row r="4905" spans="8:8" x14ac:dyDescent="0.3">
      <c r="H4905" s="4"/>
    </row>
    <row r="4922" spans="8:8" x14ac:dyDescent="0.3">
      <c r="H4922" s="4"/>
    </row>
    <row r="4939" spans="8:8" x14ac:dyDescent="0.3">
      <c r="H4939" s="4"/>
    </row>
    <row r="4956" spans="8:8" x14ac:dyDescent="0.3">
      <c r="H4956" s="4"/>
    </row>
    <row r="4973" spans="8:8" x14ac:dyDescent="0.3">
      <c r="H4973" s="4"/>
    </row>
    <row r="4990" spans="8:8" x14ac:dyDescent="0.3">
      <c r="H4990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496ab6f-82d7-47fa-ba56-55fc2c510ab4" origin="defaultValue">
  <element uid="8f417aed-8f16-42c8-8249-136a73112f72" value=""/>
</sisl>
</file>

<file path=customXml/itemProps1.xml><?xml version="1.0" encoding="utf-8"?>
<ds:datastoreItem xmlns:ds="http://schemas.openxmlformats.org/officeDocument/2006/customXml" ds:itemID="{37B278BD-29C3-44FD-8971-5873F941241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TD</vt:lpstr>
      <vt:lpstr>Actual</vt:lpstr>
      <vt:lpstr>Date</vt:lpstr>
      <vt:lpstr>Report</vt:lpstr>
    </vt:vector>
  </TitlesOfParts>
  <Company>Trafigura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Ducuara</dc:creator>
  <cp:keywords>NOT RESTRICTED</cp:keywords>
  <cp:lastModifiedBy>JBarrios</cp:lastModifiedBy>
  <cp:lastPrinted>2021-06-15T17:08:37Z</cp:lastPrinted>
  <dcterms:created xsi:type="dcterms:W3CDTF">2019-11-22T14:34:30Z</dcterms:created>
  <dcterms:modified xsi:type="dcterms:W3CDTF">2022-02-25T01:56:09Z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b2e3fde7-73f4-4a10-9d7e-b0ea46ceb726</vt:lpwstr>
  </property>
  <property fmtid="{D5CDD505-2E9C-101B-9397-08002B2CF9AE}" pid="3" name="bjDocumentLabelXML">
    <vt:lpwstr>&lt;?xml version="1.0" encoding="us-ascii"?&gt;&lt;sisl xmlns:xsi="http://www.w3.org/2001/XMLSchema-instance" xmlns:xsd="http://www.w3.org/2001/XMLSchema" sislVersion="0" policy="d496ab6f-82d7-47fa-ba56-55fc2c510ab4" origin="defaultValue" xmlns="http://www.boldonj</vt:lpwstr>
  </property>
  <property fmtid="{D5CDD505-2E9C-101B-9397-08002B2CF9AE}" pid="4" name="bjDocumentLabelXML-0">
    <vt:lpwstr>ames.com/2008/01/sie/internal/label"&gt;&lt;element uid="8f417aed-8f16-42c8-8249-136a73112f72" value="" /&gt;&lt;/sisl&gt;</vt:lpwstr>
  </property>
  <property fmtid="{D5CDD505-2E9C-101B-9397-08002B2CF9AE}" pid="5" name="bjDocumentSecurityLabel">
    <vt:lpwstr>NOT RESTRICTED</vt:lpwstr>
  </property>
  <property fmtid="{D5CDD505-2E9C-101B-9397-08002B2CF9AE}" pid="6" name="bjSaver">
    <vt:lpwstr>uWMtHlNgnX8uVYOUIv7+D4wey6U/qPRG</vt:lpwstr>
  </property>
</Properties>
</file>